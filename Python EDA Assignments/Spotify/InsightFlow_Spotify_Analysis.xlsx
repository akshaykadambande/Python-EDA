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Raw Data" sheetId="1" state="visible" r:id="rId3"/>
    <sheet name="Cleaned Data" sheetId="2" state="visible" r:id="rId4"/>
    <sheet name="Questions" sheetId="3" state="visible" r:id="rId5"/>
    <sheet name="Q1-2 Overview &amp; Concentration" sheetId="4" state="visible" r:id="rId6"/>
    <sheet name="Q3 Artist Efficiency" sheetId="5" state="visible" r:id="rId7"/>
    <sheet name="Q4 Collab Strategy" sheetId="6" state="visible" r:id="rId8"/>
    <sheet name="Q5 Whitespace Segments" sheetId="7" state="visible" r:id="rId9"/>
    <sheet name="Q6 Legacy vs Emerging" sheetId="8" state="visible" r:id="rId10"/>
    <sheet name="Q7 Gender Patterns" sheetId="9" state="visible" r:id="rId11"/>
    <sheet name="Charts" sheetId="10" state="visible" r:id="rId12"/>
    <sheet name="Conclusion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<sst xmlns="http://schemas.openxmlformats.org/spreadsheetml/2006/main" count="6249" uniqueCount="690">
  <si>
    <t xml:space="preserve">Artist Name</t>
  </si>
  <si>
    <t xml:space="preserve">Sex</t>
  </si>
  <si>
    <t xml:space="preserve">Country of Origin</t>
  </si>
  <si>
    <t xml:space="preserve">Primary Language</t>
  </si>
  <si>
    <t xml:space="preserve">Primary Genre</t>
  </si>
  <si>
    <t xml:space="preserve">Artist Type</t>
  </si>
  <si>
    <t xml:space="preserve">Debut Year</t>
  </si>
  <si>
    <t xml:space="preserve">Total Streams (M)</t>
  </si>
  <si>
    <t xml:space="preserve">Lead Streams (M)</t>
  </si>
  <si>
    <t xml:space="preserve">Feature Streams (M)</t>
  </si>
  <si>
    <t xml:space="preserve">Solo Streams (M)</t>
  </si>
  <si>
    <t xml:space="preserve">% of Solo Streams</t>
  </si>
  <si>
    <t xml:space="preserve">Collaborative Streams (M)</t>
  </si>
  <si>
    <t xml:space="preserve">% of Collaborative Streams</t>
  </si>
  <si>
    <t xml:space="preserve">Drake</t>
  </si>
  <si>
    <t xml:space="preserve">Male</t>
  </si>
  <si>
    <t xml:space="preserve">Canada</t>
  </si>
  <si>
    <t xml:space="preserve">English</t>
  </si>
  <si>
    <t xml:space="preserve">Hip-Hop</t>
  </si>
  <si>
    <t xml:space="preserve">Solo</t>
  </si>
  <si>
    <t xml:space="preserve">Taylor Swift</t>
  </si>
  <si>
    <t xml:space="preserve">Female</t>
  </si>
  <si>
    <t xml:space="preserve">United States</t>
  </si>
  <si>
    <t xml:space="preserve">Pop</t>
  </si>
  <si>
    <t xml:space="preserve">Bad Bunny</t>
  </si>
  <si>
    <t xml:space="preserve">Spanish</t>
  </si>
  <si>
    <t xml:space="preserve">Reggaeton</t>
  </si>
  <si>
    <t xml:space="preserve">The Weeknd</t>
  </si>
  <si>
    <t xml:space="preserve">R&amp;B</t>
  </si>
  <si>
    <t xml:space="preserve">Justin Bieber</t>
  </si>
  <si>
    <t xml:space="preserve">Ariana Grande</t>
  </si>
  <si>
    <t xml:space="preserve">Travis Scott</t>
  </si>
  <si>
    <t xml:space="preserve">Kanye West</t>
  </si>
  <si>
    <t xml:space="preserve">Ed Sheeran</t>
  </si>
  <si>
    <t xml:space="preserve">United Kingdom</t>
  </si>
  <si>
    <t xml:space="preserve">Eminem</t>
  </si>
  <si>
    <t xml:space="preserve">Rihanna</t>
  </si>
  <si>
    <t xml:space="preserve">Barbados</t>
  </si>
  <si>
    <t xml:space="preserve">Billie Eilish</t>
  </si>
  <si>
    <t xml:space="preserve">Bruno Mars</t>
  </si>
  <si>
    <t xml:space="preserve">Kendrick Lamar</t>
  </si>
  <si>
    <t xml:space="preserve">Post Malone</t>
  </si>
  <si>
    <t xml:space="preserve">J Balvin</t>
  </si>
  <si>
    <t xml:space="preserve">Colombia</t>
  </si>
  <si>
    <t xml:space="preserve">Future</t>
  </si>
  <si>
    <t xml:space="preserve">BTS</t>
  </si>
  <si>
    <t xml:space="preserve">South Korea</t>
  </si>
  <si>
    <t xml:space="preserve">Korean</t>
  </si>
  <si>
    <t xml:space="preserve">K-Pop</t>
  </si>
  <si>
    <t xml:space="preserve">Group</t>
  </si>
  <si>
    <t xml:space="preserve">Ozuna</t>
  </si>
  <si>
    <t xml:space="preserve">Coldplay</t>
  </si>
  <si>
    <t xml:space="preserve">Rock</t>
  </si>
  <si>
    <t xml:space="preserve">Juice WRLD</t>
  </si>
  <si>
    <t xml:space="preserve">Chris Brown</t>
  </si>
  <si>
    <t xml:space="preserve">Nicki Minaj</t>
  </si>
  <si>
    <t xml:space="preserve">Trinidad and Tobago</t>
  </si>
  <si>
    <t xml:space="preserve">Lana Del Rey</t>
  </si>
  <si>
    <t xml:space="preserve">Alternative</t>
  </si>
  <si>
    <t xml:space="preserve">David Guetta</t>
  </si>
  <si>
    <t xml:space="preserve">France</t>
  </si>
  <si>
    <t xml:space="preserve">EDM</t>
  </si>
  <si>
    <t xml:space="preserve">Dua Lipa</t>
  </si>
  <si>
    <t xml:space="preserve">Daddy Yankee</t>
  </si>
  <si>
    <t xml:space="preserve">Rauw Alejandro</t>
  </si>
  <si>
    <t xml:space="preserve">Anuel AA</t>
  </si>
  <si>
    <t xml:space="preserve">XXXTENTACION</t>
  </si>
  <si>
    <t xml:space="preserve">Imagine Dragons</t>
  </si>
  <si>
    <t xml:space="preserve">Lil Wayne</t>
  </si>
  <si>
    <t xml:space="preserve">21 Savage</t>
  </si>
  <si>
    <t xml:space="preserve">SZA</t>
  </si>
  <si>
    <t xml:space="preserve">Arijit Singh</t>
  </si>
  <si>
    <t xml:space="preserve">India</t>
  </si>
  <si>
    <t xml:space="preserve">Hindi</t>
  </si>
  <si>
    <t xml:space="preserve">Filmi</t>
  </si>
  <si>
    <t xml:space="preserve">Lady Gaga</t>
  </si>
  <si>
    <t xml:space="preserve">KAROL G</t>
  </si>
  <si>
    <t xml:space="preserve">Lil Baby</t>
  </si>
  <si>
    <t xml:space="preserve">Maroon 5</t>
  </si>
  <si>
    <t xml:space="preserve">Mixed</t>
  </si>
  <si>
    <t xml:space="preserve">Khalid</t>
  </si>
  <si>
    <t xml:space="preserve">Beyoncé</t>
  </si>
  <si>
    <t xml:space="preserve">Maluma</t>
  </si>
  <si>
    <t xml:space="preserve">Latin</t>
  </si>
  <si>
    <t xml:space="preserve">Feid</t>
  </si>
  <si>
    <t xml:space="preserve">Calvin Harris</t>
  </si>
  <si>
    <t xml:space="preserve">Scotland</t>
  </si>
  <si>
    <t xml:space="preserve">Myke Towers</t>
  </si>
  <si>
    <t xml:space="preserve">Linkin Park</t>
  </si>
  <si>
    <t xml:space="preserve">Peso Pluma</t>
  </si>
  <si>
    <t xml:space="preserve">Mexico</t>
  </si>
  <si>
    <t xml:space="preserve">Regional Mexican</t>
  </si>
  <si>
    <t xml:space="preserve">J. Cole</t>
  </si>
  <si>
    <t xml:space="preserve">Lil Uzi Vert</t>
  </si>
  <si>
    <t xml:space="preserve">Sia</t>
  </si>
  <si>
    <t xml:space="preserve">Australia</t>
  </si>
  <si>
    <t xml:space="preserve">Doja Cat</t>
  </si>
  <si>
    <t xml:space="preserve">Shakira</t>
  </si>
  <si>
    <t xml:space="preserve">Morgan Wallen</t>
  </si>
  <si>
    <t xml:space="preserve">Country</t>
  </si>
  <si>
    <t xml:space="preserve">Young Thug</t>
  </si>
  <si>
    <t xml:space="preserve">Farruko</t>
  </si>
  <si>
    <t xml:space="preserve">Shawn Mendes</t>
  </si>
  <si>
    <t xml:space="preserve">Harry Styles</t>
  </si>
  <si>
    <t xml:space="preserve">Queen</t>
  </si>
  <si>
    <t xml:space="preserve">Sam Smith</t>
  </si>
  <si>
    <t xml:space="preserve">One Direction</t>
  </si>
  <si>
    <t xml:space="preserve">Metro Boomin</t>
  </si>
  <si>
    <t xml:space="preserve">Olivia Rodrigo</t>
  </si>
  <si>
    <t xml:space="preserve">Adele</t>
  </si>
  <si>
    <t xml:space="preserve">Pritam</t>
  </si>
  <si>
    <t xml:space="preserve">Katy Perry</t>
  </si>
  <si>
    <t xml:space="preserve">Gunna</t>
  </si>
  <si>
    <t xml:space="preserve">Arctic Monkeys</t>
  </si>
  <si>
    <t xml:space="preserve">Fuerza Regida</t>
  </si>
  <si>
    <t xml:space="preserve">Junior H</t>
  </si>
  <si>
    <t xml:space="preserve">Tyler, The Creator</t>
  </si>
  <si>
    <t xml:space="preserve">Selena Gomez</t>
  </si>
  <si>
    <t xml:space="preserve">Ty Dolla $ign</t>
  </si>
  <si>
    <t xml:space="preserve">The Beatles</t>
  </si>
  <si>
    <t xml:space="preserve">Pitbull</t>
  </si>
  <si>
    <t xml:space="preserve">Nicky Jam</t>
  </si>
  <si>
    <t xml:space="preserve">Playboi Carti</t>
  </si>
  <si>
    <t xml:space="preserve">Halsey</t>
  </si>
  <si>
    <t xml:space="preserve">Wiz Khalifa</t>
  </si>
  <si>
    <t xml:space="preserve">Michael Jackson</t>
  </si>
  <si>
    <t xml:space="preserve">Sabrina Carpenter</t>
  </si>
  <si>
    <t xml:space="preserve">Frank Ocean</t>
  </si>
  <si>
    <t xml:space="preserve">Die drei ???</t>
  </si>
  <si>
    <t xml:space="preserve">Germany</t>
  </si>
  <si>
    <t xml:space="preserve">German</t>
  </si>
  <si>
    <t xml:space="preserve">Spoken Word</t>
  </si>
  <si>
    <t xml:space="preserve">JAŸ-Z</t>
  </si>
  <si>
    <t xml:space="preserve">A$AP Rocky</t>
  </si>
  <si>
    <t xml:space="preserve">Miley Cyrus</t>
  </si>
  <si>
    <t xml:space="preserve">The Chainsmokers</t>
  </si>
  <si>
    <t xml:space="preserve">Marshmello</t>
  </si>
  <si>
    <t xml:space="preserve">Cardi B</t>
  </si>
  <si>
    <t xml:space="preserve">Twenty One Pilots</t>
  </si>
  <si>
    <t xml:space="preserve">Disney</t>
  </si>
  <si>
    <t xml:space="preserve">Soundtrack</t>
  </si>
  <si>
    <t xml:space="preserve">Arcángel</t>
  </si>
  <si>
    <t xml:space="preserve">Red Hot Chili Peppers</t>
  </si>
  <si>
    <t xml:space="preserve">Camila Cabello</t>
  </si>
  <si>
    <t xml:space="preserve">Cuba</t>
  </si>
  <si>
    <t xml:space="preserve">$uicideboy$</t>
  </si>
  <si>
    <t xml:space="preserve">OneRepublic</t>
  </si>
  <si>
    <t xml:space="preserve">Avicii</t>
  </si>
  <si>
    <t xml:space="preserve">Sweden</t>
  </si>
  <si>
    <t xml:space="preserve">Diplo</t>
  </si>
  <si>
    <t xml:space="preserve">Snoop Dogg</t>
  </si>
  <si>
    <t xml:space="preserve">Romeo Santos</t>
  </si>
  <si>
    <t xml:space="preserve">Bachata</t>
  </si>
  <si>
    <t xml:space="preserve">50 Cent</t>
  </si>
  <si>
    <t xml:space="preserve">Natanael Cano</t>
  </si>
  <si>
    <t xml:space="preserve">YoungBoy Never Broke Again</t>
  </si>
  <si>
    <t xml:space="preserve">Mac Miller</t>
  </si>
  <si>
    <t xml:space="preserve">DaBaby</t>
  </si>
  <si>
    <t xml:space="preserve">Don Toliver</t>
  </si>
  <si>
    <t xml:space="preserve">Zach Bryan</t>
  </si>
  <si>
    <t xml:space="preserve">Kygo</t>
  </si>
  <si>
    <t xml:space="preserve">Norway</t>
  </si>
  <si>
    <t xml:space="preserve">Sech</t>
  </si>
  <si>
    <t xml:space="preserve">Panama</t>
  </si>
  <si>
    <t xml:space="preserve">The Neighbourhood</t>
  </si>
  <si>
    <t xml:space="preserve">Quavo</t>
  </si>
  <si>
    <t xml:space="preserve">Henrique &amp; Juliano</t>
  </si>
  <si>
    <t xml:space="preserve">Brazil</t>
  </si>
  <si>
    <t xml:space="preserve">Portuguese</t>
  </si>
  <si>
    <t xml:space="preserve">Sertanjeo</t>
  </si>
  <si>
    <t xml:space="preserve">Luke Combs</t>
  </si>
  <si>
    <t xml:space="preserve">Elton John</t>
  </si>
  <si>
    <t xml:space="preserve">Manuel Turizo</t>
  </si>
  <si>
    <t xml:space="preserve">Trippie Redd</t>
  </si>
  <si>
    <t xml:space="preserve">Tate McRae</t>
  </si>
  <si>
    <t xml:space="preserve">Lil Peep</t>
  </si>
  <si>
    <t xml:space="preserve">Metallica</t>
  </si>
  <si>
    <t xml:space="preserve">Don Omar</t>
  </si>
  <si>
    <t xml:space="preserve">USHER</t>
  </si>
  <si>
    <t xml:space="preserve">Charlie Puth</t>
  </si>
  <si>
    <t xml:space="preserve">Justin Timberlake</t>
  </si>
  <si>
    <t xml:space="preserve">Tiësto</t>
  </si>
  <si>
    <t xml:space="preserve">Netherlands</t>
  </si>
  <si>
    <t xml:space="preserve">Sean Paul</t>
  </si>
  <si>
    <t xml:space="preserve">Jamaica</t>
  </si>
  <si>
    <t xml:space="preserve">Reggae</t>
  </si>
  <si>
    <t xml:space="preserve">Tyga</t>
  </si>
  <si>
    <t xml:space="preserve">Kali Uchis</t>
  </si>
  <si>
    <t xml:space="preserve">Kodak Black</t>
  </si>
  <si>
    <t xml:space="preserve">Jason Derulo</t>
  </si>
  <si>
    <t xml:space="preserve">BLACKPINK</t>
  </si>
  <si>
    <t xml:space="preserve">JHAYCO</t>
  </si>
  <si>
    <t xml:space="preserve">Bebe Rexha</t>
  </si>
  <si>
    <t xml:space="preserve">Daft Punk</t>
  </si>
  <si>
    <t xml:space="preserve">Luis Miguel</t>
  </si>
  <si>
    <t xml:space="preserve">Demi Lovato</t>
  </si>
  <si>
    <t xml:space="preserve">Akon</t>
  </si>
  <si>
    <t xml:space="preserve">Senegal</t>
  </si>
  <si>
    <t xml:space="preserve">AC/DC</t>
  </si>
  <si>
    <t xml:space="preserve">Sebastian Yatra</t>
  </si>
  <si>
    <t xml:space="preserve">Carín León</t>
  </si>
  <si>
    <t xml:space="preserve">Alan Walker</t>
  </si>
  <si>
    <t xml:space="preserve">A Boogie Wit da Hoodie</t>
  </si>
  <si>
    <t xml:space="preserve">Fleetwood Mac</t>
  </si>
  <si>
    <t xml:space="preserve">Hozier</t>
  </si>
  <si>
    <t xml:space="preserve">Ireland</t>
  </si>
  <si>
    <t xml:space="preserve">Ellie Goulding</t>
  </si>
  <si>
    <t xml:space="preserve">Radiohead</t>
  </si>
  <si>
    <t xml:space="preserve">Big Sean</t>
  </si>
  <si>
    <t xml:space="preserve">Flo Rida</t>
  </si>
  <si>
    <t xml:space="preserve">P!nk</t>
  </si>
  <si>
    <t xml:space="preserve">Nirvana</t>
  </si>
  <si>
    <t xml:space="preserve">Pop Smoke</t>
  </si>
  <si>
    <t xml:space="preserve">Britney Spears</t>
  </si>
  <si>
    <t xml:space="preserve">James Arthur</t>
  </si>
  <si>
    <t xml:space="preserve">Tory Lanez</t>
  </si>
  <si>
    <t xml:space="preserve">Pharrell Williams</t>
  </si>
  <si>
    <t xml:space="preserve">DJ Snake</t>
  </si>
  <si>
    <t xml:space="preserve">Daniel Caesar</t>
  </si>
  <si>
    <t xml:space="preserve">Black Eyed Peas</t>
  </si>
  <si>
    <t xml:space="preserve">Swae Lee</t>
  </si>
  <si>
    <t xml:space="preserve">Shreya Ghoshal</t>
  </si>
  <si>
    <t xml:space="preserve">Duki</t>
  </si>
  <si>
    <t xml:space="preserve">Argentina</t>
  </si>
  <si>
    <t xml:space="preserve">Bizarrap</t>
  </si>
  <si>
    <t xml:space="preserve">Migos</t>
  </si>
  <si>
    <t xml:space="preserve">The Kid LAROI</t>
  </si>
  <si>
    <t xml:space="preserve">Marília Mendonça</t>
  </si>
  <si>
    <t xml:space="preserve">Anitta</t>
  </si>
  <si>
    <t xml:space="preserve">Green Day</t>
  </si>
  <si>
    <t xml:space="preserve">Lil Durk</t>
  </si>
  <si>
    <t xml:space="preserve">Polo G</t>
  </si>
  <si>
    <t xml:space="preserve">A.R. Rahman</t>
  </si>
  <si>
    <t xml:space="preserve">Tamil</t>
  </si>
  <si>
    <t xml:space="preserve">G-Eazy</t>
  </si>
  <si>
    <t xml:space="preserve">Kid Cudi</t>
  </si>
  <si>
    <t xml:space="preserve">Justin Quiles</t>
  </si>
  <si>
    <t xml:space="preserve">Bob Marley &amp; The Wailers</t>
  </si>
  <si>
    <t xml:space="preserve">Stray Kids</t>
  </si>
  <si>
    <t xml:space="preserve">Anirudh Ravichander</t>
  </si>
  <si>
    <t xml:space="preserve">Ne-Yo</t>
  </si>
  <si>
    <t xml:space="preserve">Gucci Mane</t>
  </si>
  <si>
    <t xml:space="preserve">ROSALÍA</t>
  </si>
  <si>
    <t xml:space="preserve">Spain</t>
  </si>
  <si>
    <t xml:space="preserve">Charli xcx</t>
  </si>
  <si>
    <t xml:space="preserve">Joji</t>
  </si>
  <si>
    <t xml:space="preserve">Japan</t>
  </si>
  <si>
    <t xml:space="preserve">Fall Out Boy</t>
  </si>
  <si>
    <t xml:space="preserve">PARTYNEXTDOOR</t>
  </si>
  <si>
    <t xml:space="preserve">Jorge &amp; Mateus</t>
  </si>
  <si>
    <t xml:space="preserve">Offset</t>
  </si>
  <si>
    <t xml:space="preserve">Panic! At The Disco</t>
  </si>
  <si>
    <t xml:space="preserve">Tame Impala</t>
  </si>
  <si>
    <t xml:space="preserve">Quevedo</t>
  </si>
  <si>
    <t xml:space="preserve">Morat</t>
  </si>
  <si>
    <t xml:space="preserve">Zara Larsson</t>
  </si>
  <si>
    <t xml:space="preserve">Tito Double P</t>
  </si>
  <si>
    <t xml:space="preserve">Jul</t>
  </si>
  <si>
    <t xml:space="preserve">French</t>
  </si>
  <si>
    <t xml:space="preserve">2Pac</t>
  </si>
  <si>
    <t xml:space="preserve">Gorillaz</t>
  </si>
  <si>
    <t xml:space="preserve">Lewis Capaldi</t>
  </si>
  <si>
    <t xml:space="preserve">Grupo Frontera</t>
  </si>
  <si>
    <t xml:space="preserve">Camilo</t>
  </si>
  <si>
    <t xml:space="preserve">Lenny Tavárez</t>
  </si>
  <si>
    <t xml:space="preserve">2 Chainz</t>
  </si>
  <si>
    <t xml:space="preserve">NF</t>
  </si>
  <si>
    <t xml:space="preserve">Bryson Tiller</t>
  </si>
  <si>
    <t xml:space="preserve">Rels B</t>
  </si>
  <si>
    <t xml:space="preserve">Roddy Ricch</t>
  </si>
  <si>
    <t xml:space="preserve">Guns N' Roses</t>
  </si>
  <si>
    <t xml:space="preserve">Mariah Carey</t>
  </si>
  <si>
    <t xml:space="preserve">Noah Kahan</t>
  </si>
  <si>
    <t xml:space="preserve">Folk</t>
  </si>
  <si>
    <t xml:space="preserve">Megan Thee Stallion</t>
  </si>
  <si>
    <t xml:space="preserve">Christian Nodal</t>
  </si>
  <si>
    <t xml:space="preserve">Brent Faiyaz</t>
  </si>
  <si>
    <t xml:space="preserve">Martin Garrix</t>
  </si>
  <si>
    <t xml:space="preserve">Banda MS de Sergio Lizárraga</t>
  </si>
  <si>
    <t xml:space="preserve">Pink Floyd</t>
  </si>
  <si>
    <t xml:space="preserve">mgk</t>
  </si>
  <si>
    <t xml:space="preserve">Wisin &amp; Yandel</t>
  </si>
  <si>
    <t xml:space="preserve">Dr. Dre</t>
  </si>
  <si>
    <t xml:space="preserve">Mora</t>
  </si>
  <si>
    <t xml:space="preserve">Cigarettes After Sex</t>
  </si>
  <si>
    <t xml:space="preserve">Childish Gambino</t>
  </si>
  <si>
    <t xml:space="preserve">Wisin</t>
  </si>
  <si>
    <t xml:space="preserve">Major Lazer</t>
  </si>
  <si>
    <t xml:space="preserve">John Mayer</t>
  </si>
  <si>
    <t xml:space="preserve">Miguel</t>
  </si>
  <si>
    <t xml:space="preserve">Lil Nas X</t>
  </si>
  <si>
    <t xml:space="preserve">System Of A Down</t>
  </si>
  <si>
    <t xml:space="preserve">Metal</t>
  </si>
  <si>
    <t xml:space="preserve">Logic</t>
  </si>
  <si>
    <t xml:space="preserve">ABBA</t>
  </si>
  <si>
    <t xml:space="preserve">Becky G</t>
  </si>
  <si>
    <t xml:space="preserve">Yandel</t>
  </si>
  <si>
    <t xml:space="preserve">Enrique Iglesias</t>
  </si>
  <si>
    <t xml:space="preserve">Lil Yachty</t>
  </si>
  <si>
    <t xml:space="preserve">Luis R Conriquez</t>
  </si>
  <si>
    <t xml:space="preserve">Zion &amp; Lennox</t>
  </si>
  <si>
    <t xml:space="preserve">5 Seconds of Summer</t>
  </si>
  <si>
    <t xml:space="preserve">Jack Harlow</t>
  </si>
  <si>
    <t xml:space="preserve">TWICE</t>
  </si>
  <si>
    <t xml:space="preserve">Ñengo Flow</t>
  </si>
  <si>
    <t xml:space="preserve">Ava Max</t>
  </si>
  <si>
    <t xml:space="preserve">ZAYN</t>
  </si>
  <si>
    <t xml:space="preserve">Michael Bublé</t>
  </si>
  <si>
    <t xml:space="preserve">Macklemore</t>
  </si>
  <si>
    <t xml:space="preserve">Anne-Marie</t>
  </si>
  <si>
    <t xml:space="preserve">The Rolling Stones</t>
  </si>
  <si>
    <t xml:space="preserve">Frank Sinatra</t>
  </si>
  <si>
    <t xml:space="preserve">Robin Schulz</t>
  </si>
  <si>
    <t xml:space="preserve">Bryant Myers</t>
  </si>
  <si>
    <t xml:space="preserve">Gusttavo Lima</t>
  </si>
  <si>
    <t xml:space="preserve">Eladio Carrion</t>
  </si>
  <si>
    <t xml:space="preserve">Grupo Firme</t>
  </si>
  <si>
    <t xml:space="preserve">Amitabh Bhattacharya</t>
  </si>
  <si>
    <t xml:space="preserve">Alicia Keys</t>
  </si>
  <si>
    <t xml:space="preserve">Kesha</t>
  </si>
  <si>
    <t xml:space="preserve">LAUV</t>
  </si>
  <si>
    <t xml:space="preserve">Madonna</t>
  </si>
  <si>
    <t xml:space="preserve">Reik</t>
  </si>
  <si>
    <t xml:space="preserve">John Legend</t>
  </si>
  <si>
    <t xml:space="preserve">Meghan Trainor</t>
  </si>
  <si>
    <t xml:space="preserve">Lil Tecca</t>
  </si>
  <si>
    <t xml:space="preserve">Lorde</t>
  </si>
  <si>
    <t xml:space="preserve">New Zealand</t>
  </si>
  <si>
    <t xml:space="preserve">MC Ryan SP</t>
  </si>
  <si>
    <t xml:space="preserve">Chris Stapleton</t>
  </si>
  <si>
    <t xml:space="preserve">French Montana</t>
  </si>
  <si>
    <t xml:space="preserve">Morocco</t>
  </si>
  <si>
    <t xml:space="preserve">Melanie Martinez</t>
  </si>
  <si>
    <t xml:space="preserve">Elvis Presley</t>
  </si>
  <si>
    <t xml:space="preserve">Rick Ross</t>
  </si>
  <si>
    <t xml:space="preserve">Cris MJ</t>
  </si>
  <si>
    <t xml:space="preserve">Chile</t>
  </si>
  <si>
    <t xml:space="preserve">Zedd</t>
  </si>
  <si>
    <t xml:space="preserve">Russia</t>
  </si>
  <si>
    <t xml:space="preserve">Paramore</t>
  </si>
  <si>
    <t xml:space="preserve">Chance the Rapper</t>
  </si>
  <si>
    <t xml:space="preserve">Ninho</t>
  </si>
  <si>
    <t xml:space="preserve">blackbear</t>
  </si>
  <si>
    <t xml:space="preserve">Creedence Clearwater Revival</t>
  </si>
  <si>
    <t xml:space="preserve">T-Pain</t>
  </si>
  <si>
    <t xml:space="preserve">Jung Kook</t>
  </si>
  <si>
    <t xml:space="preserve">Skrillex</t>
  </si>
  <si>
    <t xml:space="preserve">DJ Khaled</t>
  </si>
  <si>
    <t xml:space="preserve">Wizkid</t>
  </si>
  <si>
    <t xml:space="preserve">Nigeria</t>
  </si>
  <si>
    <t xml:space="preserve">Afrobeats</t>
  </si>
  <si>
    <t xml:space="preserve">Oasis</t>
  </si>
  <si>
    <t xml:space="preserve">Christina Aguilera</t>
  </si>
  <si>
    <t xml:space="preserve">Slipknot</t>
  </si>
  <si>
    <t xml:space="preserve">Irshad Kamil</t>
  </si>
  <si>
    <t xml:space="preserve">Little Mix</t>
  </si>
  <si>
    <t xml:space="preserve">Beéle</t>
  </si>
  <si>
    <t xml:space="preserve">The Notorious B.I.G.</t>
  </si>
  <si>
    <t xml:space="preserve">Mitski</t>
  </si>
  <si>
    <t xml:space="preserve">Tainy</t>
  </si>
  <si>
    <t xml:space="preserve">Zé Neto &amp; Cristiano</t>
  </si>
  <si>
    <t xml:space="preserve">Rammstein</t>
  </si>
  <si>
    <t xml:space="preserve">Labrinth</t>
  </si>
  <si>
    <t xml:space="preserve">Chencho Corleone</t>
  </si>
  <si>
    <t xml:space="preserve">Darell</t>
  </si>
  <si>
    <t xml:space="preserve">Bon Jovi</t>
  </si>
  <si>
    <t xml:space="preserve">The Killers</t>
  </si>
  <si>
    <t xml:space="preserve">blink-182</t>
  </si>
  <si>
    <t xml:space="preserve">Summer Walker</t>
  </si>
  <si>
    <t xml:space="preserve">Jhené Aiko</t>
  </si>
  <si>
    <t xml:space="preserve">Kehlani</t>
  </si>
  <si>
    <t xml:space="preserve">Clean Bandit</t>
  </si>
  <si>
    <t xml:space="preserve">David Bowie</t>
  </si>
  <si>
    <t xml:space="preserve">U2</t>
  </si>
  <si>
    <t xml:space="preserve">Aventura</t>
  </si>
  <si>
    <t xml:space="preserve">Foo Fighters</t>
  </si>
  <si>
    <t xml:space="preserve">The 1975</t>
  </si>
  <si>
    <t xml:space="preserve">Maria Becerra</t>
  </si>
  <si>
    <t xml:space="preserve">Plan B</t>
  </si>
  <si>
    <t xml:space="preserve">Steve Lacy</t>
  </si>
  <si>
    <t xml:space="preserve">De La Ghetto</t>
  </si>
  <si>
    <t xml:space="preserve">Troye Sivan</t>
  </si>
  <si>
    <t xml:space="preserve">South Africa</t>
  </si>
  <si>
    <t xml:space="preserve">Conan Gray</t>
  </si>
  <si>
    <t xml:space="preserve">Ludacris</t>
  </si>
  <si>
    <t xml:space="preserve">Burna Boy</t>
  </si>
  <si>
    <t xml:space="preserve">Danny Ocean</t>
  </si>
  <si>
    <t xml:space="preserve">Venezuela</t>
  </si>
  <si>
    <t xml:space="preserve">Meek Mill</t>
  </si>
  <si>
    <t xml:space="preserve">My Chemical Romance</t>
  </si>
  <si>
    <t xml:space="preserve">Alessia Cara</t>
  </si>
  <si>
    <t xml:space="preserve">Vishal-Shekhar</t>
  </si>
  <si>
    <t xml:space="preserve">Paulo Londra</t>
  </si>
  <si>
    <t xml:space="preserve">La Arrolladora Banda El Limón De Rene Camacho</t>
  </si>
  <si>
    <t xml:space="preserve">Yeat</t>
  </si>
  <si>
    <t xml:space="preserve">Matheus &amp; Kauan</t>
  </si>
  <si>
    <t xml:space="preserve">Alok</t>
  </si>
  <si>
    <t xml:space="preserve">Bring Me The Horizon</t>
  </si>
  <si>
    <t xml:space="preserve">Central Cee</t>
  </si>
  <si>
    <t xml:space="preserve">League of Legends</t>
  </si>
  <si>
    <t xml:space="preserve">Mac DeMarco</t>
  </si>
  <si>
    <t xml:space="preserve">Benson Boone</t>
  </si>
  <si>
    <t xml:space="preserve">Dalex</t>
  </si>
  <si>
    <t xml:space="preserve">Nickelback</t>
  </si>
  <si>
    <t xml:space="preserve">Marc Anthony</t>
  </si>
  <si>
    <t xml:space="preserve">Maná</t>
  </si>
  <si>
    <t xml:space="preserve">Led Zeppelin</t>
  </si>
  <si>
    <t xml:space="preserve">Måneskin</t>
  </si>
  <si>
    <t xml:space="preserve">Italy</t>
  </si>
  <si>
    <t xml:space="preserve">Italian</t>
  </si>
  <si>
    <t xml:space="preserve">Florida Georgia Line</t>
  </si>
  <si>
    <t xml:space="preserve">Luis Fonsi</t>
  </si>
  <si>
    <t xml:space="preserve">RAYE</t>
  </si>
  <si>
    <t xml:space="preserve">Neton Vega</t>
  </si>
  <si>
    <t xml:space="preserve">Gracie Abrams</t>
  </si>
  <si>
    <t xml:space="preserve">Timbaland</t>
  </si>
  <si>
    <t xml:space="preserve">Jeremih</t>
  </si>
  <si>
    <t xml:space="preserve">The Lumineers</t>
  </si>
  <si>
    <t xml:space="preserve">Oscar Maydon</t>
  </si>
  <si>
    <t xml:space="preserve">Anderson .Paak</t>
  </si>
  <si>
    <t xml:space="preserve">Chase Atlantic</t>
  </si>
  <si>
    <t xml:space="preserve">Julión Álvarez y su Norteño Banda</t>
  </si>
  <si>
    <t xml:space="preserve">Prince Royce</t>
  </si>
  <si>
    <t xml:space="preserve">Bastille</t>
  </si>
  <si>
    <t xml:space="preserve">Sfera Ebbasta</t>
  </si>
  <si>
    <t xml:space="preserve">Florence + The Machine</t>
  </si>
  <si>
    <t xml:space="preserve">YG</t>
  </si>
  <si>
    <t xml:space="preserve">Alejandro Sanz</t>
  </si>
  <si>
    <t xml:space="preserve">Lil Tjay</t>
  </si>
  <si>
    <t xml:space="preserve">GIVĒON</t>
  </si>
  <si>
    <t xml:space="preserve">Billy Joel</t>
  </si>
  <si>
    <t xml:space="preserve">Luke Bryan</t>
  </si>
  <si>
    <t xml:space="preserve">Muse</t>
  </si>
  <si>
    <t xml:space="preserve">Jonas Blue</t>
  </si>
  <si>
    <t xml:space="preserve">Teddy Swims</t>
  </si>
  <si>
    <t xml:space="preserve">Juanes</t>
  </si>
  <si>
    <t xml:space="preserve">Jennifer Lopez</t>
  </si>
  <si>
    <t xml:space="preserve">Cartel De Santa</t>
  </si>
  <si>
    <t xml:space="preserve">T.I.</t>
  </si>
  <si>
    <t xml:space="preserve">Gabito Ballesteros</t>
  </si>
  <si>
    <t xml:space="preserve">El Alfa</t>
  </si>
  <si>
    <t xml:space="preserve">Dominican Republic</t>
  </si>
  <si>
    <t xml:space="preserve">Alka Yagnik</t>
  </si>
  <si>
    <t xml:space="preserve">Blessd</t>
  </si>
  <si>
    <t xml:space="preserve">NATTI NATASHA</t>
  </si>
  <si>
    <t xml:space="preserve">Bruce Springsteen</t>
  </si>
  <si>
    <t xml:space="preserve">Alfredo Olivas</t>
  </si>
  <si>
    <t xml:space="preserve">Jonas Brothers</t>
  </si>
  <si>
    <t xml:space="preserve">Hans Zimmer</t>
  </si>
  <si>
    <t xml:space="preserve">Julia Michaels</t>
  </si>
  <si>
    <t xml:space="preserve">Deftones</t>
  </si>
  <si>
    <t xml:space="preserve">Clairo</t>
  </si>
  <si>
    <t xml:space="preserve">Whitney Houston</t>
  </si>
  <si>
    <t xml:space="preserve">Tove Lo</t>
  </si>
  <si>
    <t xml:space="preserve">DJ Luian</t>
  </si>
  <si>
    <t xml:space="preserve">Amy Winehouse</t>
  </si>
  <si>
    <t xml:space="preserve">Soul</t>
  </si>
  <si>
    <t xml:space="preserve">TV Girl</t>
  </si>
  <si>
    <t xml:space="preserve">Tanishk Bagchi</t>
  </si>
  <si>
    <t xml:space="preserve">Dave</t>
  </si>
  <si>
    <t xml:space="preserve">Avril Lavigne</t>
  </si>
  <si>
    <t xml:space="preserve">Lost Frequencies</t>
  </si>
  <si>
    <t xml:space="preserve">Belgium</t>
  </si>
  <si>
    <t xml:space="preserve">Kings of Leon</t>
  </si>
  <si>
    <t xml:space="preserve">Joan Sebastian</t>
  </si>
  <si>
    <t xml:space="preserve">Alejandro Fernández</t>
  </si>
  <si>
    <t xml:space="preserve">Glass Animals</t>
  </si>
  <si>
    <t xml:space="preserve">Sachin-Jigar</t>
  </si>
  <si>
    <t xml:space="preserve">Fetty Wap</t>
  </si>
  <si>
    <t xml:space="preserve">NAV</t>
  </si>
  <si>
    <t xml:space="preserve">Jack Johnson</t>
  </si>
  <si>
    <t xml:space="preserve">SEVENTEEN</t>
  </si>
  <si>
    <t xml:space="preserve">The Script</t>
  </si>
  <si>
    <t xml:space="preserve">TINI</t>
  </si>
  <si>
    <t xml:space="preserve">Backstreet Boys</t>
  </si>
  <si>
    <t xml:space="preserve">Jimin</t>
  </si>
  <si>
    <t xml:space="preserve">Mambo Kingz</t>
  </si>
  <si>
    <t xml:space="preserve">NLE Choppa</t>
  </si>
  <si>
    <t xml:space="preserve">GIMS</t>
  </si>
  <si>
    <t xml:space="preserve">DR Congo</t>
  </si>
  <si>
    <t xml:space="preserve">Calibre 50</t>
  </si>
  <si>
    <t xml:space="preserve">Chappell Roan</t>
  </si>
  <si>
    <t xml:space="preserve">Stevie Wonder</t>
  </si>
  <si>
    <t xml:space="preserve">Juicy J</t>
  </si>
  <si>
    <t xml:space="preserve">Mark Ronson</t>
  </si>
  <si>
    <t xml:space="preserve">Kelly Clarkson</t>
  </si>
  <si>
    <t xml:space="preserve">The Offspring</t>
  </si>
  <si>
    <t xml:space="preserve">Bonez MC</t>
  </si>
  <si>
    <t xml:space="preserve">Bibi Blocksberg</t>
  </si>
  <si>
    <t xml:space="preserve">Children's Music</t>
  </si>
  <si>
    <t xml:space="preserve">Milo j</t>
  </si>
  <si>
    <t xml:space="preserve">Jay Wheeler</t>
  </si>
  <si>
    <t xml:space="preserve">felix jaehn</t>
  </si>
  <si>
    <t xml:space="preserve">Niall Horan</t>
  </si>
  <si>
    <t xml:space="preserve">6ix9ine</t>
  </si>
  <si>
    <t xml:space="preserve">Nate Dogg</t>
  </si>
  <si>
    <t xml:space="preserve">Noriel</t>
  </si>
  <si>
    <t xml:space="preserve">Vicente Fernández</t>
  </si>
  <si>
    <t xml:space="preserve">Three Days Grace</t>
  </si>
  <si>
    <t xml:space="preserve">Aerosmith</t>
  </si>
  <si>
    <t xml:space="preserve">Bee Gees</t>
  </si>
  <si>
    <t xml:space="preserve">Udit Narayan</t>
  </si>
  <si>
    <t xml:space="preserve">Nepal</t>
  </si>
  <si>
    <t xml:space="preserve">Piso 21</t>
  </si>
  <si>
    <t xml:space="preserve">Rod Wave</t>
  </si>
  <si>
    <t xml:space="preserve">Vance Joy</t>
  </si>
  <si>
    <t xml:space="preserve">Bon Iver</t>
  </si>
  <si>
    <t xml:space="preserve">Eslabon Armado</t>
  </si>
  <si>
    <t xml:space="preserve">JENNIE</t>
  </si>
  <si>
    <t xml:space="preserve">Russ</t>
  </si>
  <si>
    <t xml:space="preserve">Rae Sremmurd</t>
  </si>
  <si>
    <t xml:space="preserve">Jess Glynne</t>
  </si>
  <si>
    <t xml:space="preserve">The Smiths</t>
  </si>
  <si>
    <t xml:space="preserve">Eagles</t>
  </si>
  <si>
    <t xml:space="preserve">The Police</t>
  </si>
  <si>
    <t xml:space="preserve">Phil Collins</t>
  </si>
  <si>
    <t xml:space="preserve">The Strokes</t>
  </si>
  <si>
    <t xml:space="preserve">Atif Aslam</t>
  </si>
  <si>
    <t xml:space="preserve">Pakistan</t>
  </si>
  <si>
    <t xml:space="preserve">Urdu</t>
  </si>
  <si>
    <t xml:space="preserve">Ovy On The Drums</t>
  </si>
  <si>
    <t xml:space="preserve">Olivia Dean</t>
  </si>
  <si>
    <t xml:space="preserve">Dire Straits</t>
  </si>
  <si>
    <t xml:space="preserve">NewJeans</t>
  </si>
  <si>
    <t xml:space="preserve">Avenged Sevenfold</t>
  </si>
  <si>
    <t xml:space="preserve">Ricardo Arjona</t>
  </si>
  <si>
    <t xml:space="preserve">Guatemala</t>
  </si>
  <si>
    <t xml:space="preserve">Los Ángeles Azules</t>
  </si>
  <si>
    <t xml:space="preserve">Rex Orange County</t>
  </si>
  <si>
    <t xml:space="preserve">ScHoolboy Q</t>
  </si>
  <si>
    <t xml:space="preserve">6LACK</t>
  </si>
  <si>
    <t xml:space="preserve">Disclosure</t>
  </si>
  <si>
    <t xml:space="preserve">Brytiago</t>
  </si>
  <si>
    <t xml:space="preserve">Alesso</t>
  </si>
  <si>
    <t xml:space="preserve">RAF Camora</t>
  </si>
  <si>
    <t xml:space="preserve">Austria</t>
  </si>
  <si>
    <t xml:space="preserve">Nelly</t>
  </si>
  <si>
    <t xml:space="preserve">Mumford &amp; Sons</t>
  </si>
  <si>
    <t xml:space="preserve">Kumaar</t>
  </si>
  <si>
    <t xml:space="preserve">Pearl Jam</t>
  </si>
  <si>
    <t xml:space="preserve">Zion</t>
  </si>
  <si>
    <t xml:space="preserve">Ryan Castro</t>
  </si>
  <si>
    <t xml:space="preserve">Nelly Furtado</t>
  </si>
  <si>
    <t xml:space="preserve">Wesley Safadão</t>
  </si>
  <si>
    <t xml:space="preserve">Disturbed</t>
  </si>
  <si>
    <t xml:space="preserve">H.E.R.</t>
  </si>
  <si>
    <t xml:space="preserve">Rita Ora</t>
  </si>
  <si>
    <t xml:space="preserve">Kevin Gates</t>
  </si>
  <si>
    <t xml:space="preserve">beabadoobee</t>
  </si>
  <si>
    <t xml:space="preserve">Philippines</t>
  </si>
  <si>
    <t xml:space="preserve">Karan Aujla</t>
  </si>
  <si>
    <t xml:space="preserve">Punjabi</t>
  </si>
  <si>
    <t xml:space="preserve">Céline Dion</t>
  </si>
  <si>
    <t xml:space="preserve">Bryan Adams</t>
  </si>
  <si>
    <t xml:space="preserve">ENHYPEN</t>
  </si>
  <si>
    <t xml:space="preserve">Dominic Fike</t>
  </si>
  <si>
    <t xml:space="preserve">Ana Castela</t>
  </si>
  <si>
    <t xml:space="preserve">LANY</t>
  </si>
  <si>
    <t xml:space="preserve">Johnny Cash</t>
  </si>
  <si>
    <t xml:space="preserve">B.o.B</t>
  </si>
  <si>
    <t xml:space="preserve">Jason Aldean</t>
  </si>
  <si>
    <t xml:space="preserve">Luan Santana</t>
  </si>
  <si>
    <t xml:space="preserve">KHEA</t>
  </si>
  <si>
    <t xml:space="preserve">Maiara &amp; Maraisa</t>
  </si>
  <si>
    <t xml:space="preserve">Mc IG</t>
  </si>
  <si>
    <t xml:space="preserve">Tiago PZK</t>
  </si>
  <si>
    <t xml:space="preserve">Tom Odell</t>
  </si>
  <si>
    <t xml:space="preserve">Macklemore &amp; Ryan Lewis</t>
  </si>
  <si>
    <t xml:space="preserve">Thomas Rhett</t>
  </si>
  <si>
    <t xml:space="preserve">MØ</t>
  </si>
  <si>
    <t xml:space="preserve">Denmark</t>
  </si>
  <si>
    <t xml:space="preserve">Five Finger Death Punch</t>
  </si>
  <si>
    <t xml:space="preserve">Kane Brown</t>
  </si>
  <si>
    <t xml:space="preserve">Laufey</t>
  </si>
  <si>
    <t xml:space="preserve">Iceland</t>
  </si>
  <si>
    <t xml:space="preserve">Grupo Menos É Mais</t>
  </si>
  <si>
    <t xml:space="preserve">Nicki Nicole</t>
  </si>
  <si>
    <t xml:space="preserve">Moneybagg Yo</t>
  </si>
  <si>
    <t xml:space="preserve">Magenta</t>
  </si>
  <si>
    <t xml:space="preserve">Ryan Lewis</t>
  </si>
  <si>
    <t xml:space="preserve">Morad</t>
  </si>
  <si>
    <t xml:space="preserve">Calum Scott</t>
  </si>
  <si>
    <t xml:space="preserve">TOMORROW X TOGETHER</t>
  </si>
  <si>
    <t xml:space="preserve">Grupo Marca Registrada</t>
  </si>
  <si>
    <t xml:space="preserve">benny blanco</t>
  </si>
  <si>
    <t xml:space="preserve">JID</t>
  </si>
  <si>
    <t xml:space="preserve">YNW Melly</t>
  </si>
  <si>
    <t xml:space="preserve">Juan Gabriel</t>
  </si>
  <si>
    <t xml:space="preserve">Los Temerarios</t>
  </si>
  <si>
    <t xml:space="preserve">Jason Mraz</t>
  </si>
  <si>
    <t xml:space="preserve">The Cure</t>
  </si>
  <si>
    <t xml:space="preserve">The Marías</t>
  </si>
  <si>
    <t xml:space="preserve">Limp Bizkit</t>
  </si>
  <si>
    <t xml:space="preserve">Nu Metal</t>
  </si>
  <si>
    <t xml:space="preserve">Korn</t>
  </si>
  <si>
    <t xml:space="preserve">Omar Courtz</t>
  </si>
  <si>
    <t xml:space="preserve">Cleaned Data + Engineered Columns</t>
  </si>
  <si>
    <t xml:space="preserve">Cleaning check: 0 missing values, 0 duplicate rows/artist names found (verified programmatically) -- source data required no corrective cleaning. One header name was trimmed (" Artist Type" -&gt; "Artist Type"). 3 columns were engineered below to answer the question set: Years Active, Streams per Year Active (momentum metric), and Era Bucket (career-stage segment).</t>
  </si>
  <si>
    <t xml:space="preserve">Reference year used for "Years Active" calculation:</t>
  </si>
  <si>
    <t xml:space="preserve">Years Active</t>
  </si>
  <si>
    <t xml:space="preserve">Streams per Year Active (M)</t>
  </si>
  <si>
    <t xml:space="preserve">Era Bucket</t>
  </si>
  <si>
    <t xml:space="preserve">Question Set for This Analysis</t>
  </si>
  <si>
    <t xml:space="preserve">No question set was provided for this run, so InsightFlow generated the following data-driven, decision-oriented questions -- basic to advanced -- based on the structure of this dataset (500 artists; genre, country, gender, artist-type, debut-year, and stream-split fields).</t>
  </si>
  <si>
    <t xml:space="preserve">#</t>
  </si>
  <si>
    <t xml:space="preserve">Question</t>
  </si>
  <si>
    <t xml:space="preserve">Answered in tab</t>
  </si>
  <si>
    <t xml:space="preserve">[Overview] What do overall streaming numbers look like, and how do they break down by artist type and gender?</t>
  </si>
  <si>
    <t xml:space="preserve">Q1-2 Overview &amp; Concentration</t>
  </si>
  <si>
    <t xml:space="preserve">[Market concentration] Which countries and genres dominate total streams, and how concentrated is that dominance?</t>
  </si>
  <si>
    <t xml:space="preserve">[Artist efficiency] Which artists generate the most streams per year since debut (momentum, not just raw totals)?</t>
  </si>
  <si>
    <t xml:space="preserve">Q3 Artist Efficiency</t>
  </si>
  <si>
    <t xml:space="preserve">[Collaboration strategy] Does leaning into collaborations correlate with higher total streams, and does the pattern hold across genres?</t>
  </si>
  <si>
    <t xml:space="preserve">Q4 Collab Strategy</t>
  </si>
  <si>
    <t xml:space="preserve">[Whitespace segments] Which genre segments post above-average streams per artist but have few artists in them -- i.e. where is the underserved opportunity?</t>
  </si>
  <si>
    <t xml:space="preserve">Q5 Whitespace Segments</t>
  </si>
  <si>
    <t xml:space="preserve">[Legacy vs. emerging] How does performance differ between artists who debuted pre-2010, 2010-2017, and 2018+, and what does that imply for catalog vs. new-talent investment?</t>
  </si>
  <si>
    <t xml:space="preserve">Q6 Legacy vs Emerging</t>
  </si>
  <si>
    <t xml:space="preserve">[Gender patterns] Are there meaningful streaming or collaboration differences by gender relevant to A&amp;R/marketing decisions?</t>
  </si>
  <si>
    <t xml:space="preserve">Q7 Gender Patterns</t>
  </si>
  <si>
    <t xml:space="preserve">[Capstone] Based on all of the above, what are the top actionable levers for maximizing streaming performance?</t>
  </si>
  <si>
    <t xml:space="preserve">Conclusions</t>
  </si>
  <si>
    <t xml:space="preserve">Q1: Overview  |  Q2: Market Concentration</t>
  </si>
  <si>
    <t xml:space="preserve">Overall Dataset Summary</t>
  </si>
  <si>
    <t xml:space="preserve">Total Artists</t>
  </si>
  <si>
    <t xml:space="preserve">Sum of Total Streams (M)</t>
  </si>
  <si>
    <t xml:space="preserve">Average Total Streams per Artist (M)</t>
  </si>
  <si>
    <t xml:space="preserve">Median Total Streams (M)</t>
  </si>
  <si>
    <t xml:space="preserve">By Artist Type</t>
  </si>
  <si>
    <t xml:space="preserve">Count</t>
  </si>
  <si>
    <t xml:space="preserve">Sum Streams (M)</t>
  </si>
  <si>
    <t xml:space="preserve">Avg Streams (M)</t>
  </si>
  <si>
    <t xml:space="preserve">By Gender</t>
  </si>
  <si>
    <t xml:space="preserve">Genre Concentration (all 23 genres, ranked by share of total streams, cumulative %)</t>
  </si>
  <si>
    <t xml:space="preserve">Genre</t>
  </si>
  <si>
    <t xml:space="preserve">% of Total</t>
  </si>
  <si>
    <t xml:space="preserve">Cumulative %</t>
  </si>
  <si>
    <t xml:space="preserve">Top 10 Countries by Total Streams</t>
  </si>
  <si>
    <t xml:space="preserve">Q3: Artist Efficiency -- Streams per Year Since Debut</t>
  </si>
  <si>
    <t xml:space="preserve">Raw Total Streams rewards longevity as much as popularity. "Streams per Year Active" (Total Streams / Years since debut) surfaces artists building the fastest momentum, not just the biggest back catalog.</t>
  </si>
  <si>
    <t xml:space="preserve">Top 20 Artists by Streams per Year Active</t>
  </si>
  <si>
    <t xml:space="preserve">Rank</t>
  </si>
  <si>
    <t xml:space="preserve">Streams/Year Active (M)</t>
  </si>
  <si>
    <t xml:space="preserve">Q4: Does Collaboration Strategy Drive Higher Streams?</t>
  </si>
  <si>
    <t xml:space="preserve">Overall correlation: % Collaborative Streams vs. Total Streams</t>
  </si>
  <si>
    <t xml:space="preserve">Correlation coefficient (CORREL)</t>
  </si>
  <si>
    <t xml:space="preserve">Interpretation guide: near 0 = no linear relationship, near +/-1 = strong relationship</t>
  </si>
  <si>
    <t xml:space="preserve">Total Streams by Collaboration-Intensity Band</t>
  </si>
  <si>
    <t xml:space="preserve">Collaboration Band</t>
  </si>
  <si>
    <t xml:space="preserve"># Artists</t>
  </si>
  <si>
    <t xml:space="preserve">Avg Total Streams (M)</t>
  </si>
  <si>
    <t xml:space="preserve">0-25% Collab</t>
  </si>
  <si>
    <t xml:space="preserve">25-50% Collab</t>
  </si>
  <si>
    <t xml:space="preserve">50-75% Collab</t>
  </si>
  <si>
    <t xml:space="preserve">75-100% Collab</t>
  </si>
  <si>
    <t xml:space="preserve">Does the pattern hold across the 5 biggest genres?</t>
  </si>
  <si>
    <t xml:space="preserve">Avg % Collaborative</t>
  </si>
  <si>
    <t xml:space="preserve">Q5: Genre Whitespace -- High Avg. Streams, Low Artist Count</t>
  </si>
  <si>
    <t xml:space="preserve">Quadrant logic: a genre is a "Whitespace" opportunity if its average streams-per-artist is ABOVE the dataset average AND it has FEWER artists than the median genre -- i.e. proven demand, thin roster. Genres with fewer than 5 artists are flagged as low-confidence (single outlier artists can skew the average).</t>
  </si>
  <si>
    <t xml:space="preserve">Reference values</t>
  </si>
  <si>
    <t xml:space="preserve">Dataset average Total Streams (M)</t>
  </si>
  <si>
    <t xml:space="preserve">Median # artists per genre</t>
  </si>
  <si>
    <t xml:space="preserve">All 23 Genres -- Quadrant Classification (ranked by avg streams/artist)</t>
  </si>
  <si>
    <t xml:space="preserve">Avg Streams/Artist (M)</t>
  </si>
  <si>
    <t xml:space="preserve">Reliable Sample (n&gt;=5)</t>
  </si>
  <si>
    <t xml:space="preserve">Quadrant</t>
  </si>
  <si>
    <t xml:space="preserve">Recommended Whitespace Opportunities (n&gt;=5, reliable sample only)</t>
  </si>
  <si>
    <t xml:space="preserve">None met the n&gt;=5 + above-average + below-median-count criteria in this dataset.</t>
  </si>
  <si>
    <t xml:space="preserve">Q6: Legacy vs. Established vs. Emerging Artists</t>
  </si>
  <si>
    <t xml:space="preserve">Era Bucket (engineered on the Cleaned Data tab): Legacy = debuted before 2010, Established = 2010-2017, Emerging = 2018 or later.</t>
  </si>
  <si>
    <t xml:space="preserve">Avg Streams/Year Active (M)</t>
  </si>
  <si>
    <t xml:space="preserve">Legacy (pre-2010)</t>
  </si>
  <si>
    <t xml:space="preserve">Established (2010-2017)</t>
  </si>
  <si>
    <t xml:space="preserve">Emerging (2018+)</t>
  </si>
  <si>
    <t xml:space="preserve">Q7: Gender-Level Streaming &amp; Collaboration Patterns</t>
  </si>
  <si>
    <t xml:space="preserve">Avg % Solo</t>
  </si>
  <si>
    <t xml:space="preserve">Gender x Artist Type Crosstab (# Artists)</t>
  </si>
  <si>
    <t xml:space="preserve">Visualizations</t>
  </si>
  <si>
    <t xml:space="preserve">Conclusions &amp; Recommended Actions</t>
  </si>
  <si>
    <t xml:space="preserve">Capstone question: based on Q1-7, what are the top actionable levers for maximizing streaming performance?</t>
  </si>
  <si>
    <t xml:space="preserve">1. Market is genre-concentrated -- lead with Reggaeton/Pop/Hip-Hop/R&amp;B</t>
  </si>
  <si>
    <t xml:space="preserve">Just 4 of 23 genres (Reggaeton, Pop, Hip-Hop, R&amp;B) account for the largest share of total streams and post above-average streams per artist (18,400-20,700M avg vs. 16,818M dataset average). No genre met the strict criteria for a true "whitespace" opportunity (above-average streams AND below-median artist count) -- meaning there is no obvious underserved genre gap in this roster; the safest allocation of promotion budget is toward the 4 genres that are already proven, not a speculative niche bet.</t>
  </si>
  <si>
    <t xml:space="preserve">2. Momentum beats tenure -- prioritize recent-debut, high-velocity artists</t>
  </si>
  <si>
    <t xml:space="preserve">Emerging artists (debuted 2018+) average 2,034M streams/year active vs. 1,428M for Established (2010-2017) and just 700M for Legacy (pre-2010) artists -- a ~3x momentum gap despite Emerging having the lowest average raw Total Streams (12,674M vs 16,719-17,719M for the other two groups, since they have had less time to accumulate). Bad Bunny, Olivia Rodrigo, and Peso Pluma post the single highest streams-per-year figures in the entire dataset. Decision: catalog value still favors legacy artists for guaranteed volume, but marketing/development budget aimed at growth should skew toward recent-debut artists showing this velocity.</t>
  </si>
  <si>
    <t xml:space="preserve">3. Collaboration strategy has almost no linear effect on total streams</t>
  </si>
  <si>
    <t xml:space="preserve">The correlation between % Collaborative Streams and Total Streams is effectively 0 (see Q4 Charts CORREL value) -- both the 50-75% collab band (~20,433M avg) and the 25-50% band (~19,946M avg) modestly outperform the 0-25% band (~14,261M avg), but the 75-100% band drops back down (~15,191M avg). Decision: a moderate collaboration mix (roughly 25-75% of streams from features/collabs) outperforms both "all-solo" and "all-feature" strategies -- over-relying on collabs is not a reliable growth lever on its own.</t>
  </si>
  <si>
    <t xml:space="preserve">4. Female artists slightly outperform on average, but the sample is smaller</t>
  </si>
  <si>
    <t xml:space="preserve">Female artists average 18,593M total streams vs. 16,508M for Male and 15,206M for Mixed-gender groups, and lean more solo-driven (55.4% solo streams vs. 48.6% for Male). However, Female artists are a smaller slice of the roster (88 of 500) vs. Male (390 of 500). Decision: this is a real average-performance edge worth noting for A&amp;R, but not proof male artists underperform -- it is a smaller, possibly more selectively-signed group.</t>
  </si>
  <si>
    <t xml:space="preserve">5. Bottom line -- 3 levers ranked by expected impact</t>
  </si>
  <si>
    <t xml:space="preserve">(1) Genre focus: keep budget concentrated in Reggaeton/Pop/Hip-Hop/R&amp;B -- proven, not speculative. (2) Artist-stage mix: increase investment in recent-debut, high-streams/year artists to capture momentum before it plateaus, while keeping legacy artists for stable catalog volume. (3) Collaboration mix: target a moderate collab share (25-75%) per artist rather than pushing toward all-solo or all-feature releases, since both extremes underperform the middle band.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</si>
</sst>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\%"/>
    <numFmt numFmtId="167" formatCode="#,##0"/>
    <numFmt numFmtId="168" formatCode="0.00%"/>
    <numFmt numFmtId="169" formatCode="0"/>
    <numFmt numFmtId="170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914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91414"/>
      <name val="Arial"/>
      <family val="0"/>
      <charset val="1"/>
    </font>
    <font>
      <b val="true"/>
      <sz val="10"/>
      <color rgb="FF1DB95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91414"/>
      <name val="Arial"/>
      <family val="0"/>
      <charset val="1"/>
    </font>
    <font>
      <b val="true"/>
      <sz val="12"/>
      <color rgb="FF1DB95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B954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1DB954"/>
      <rgbColor rgb="FF19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Genres by Total Streams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'Q1-2 Overview &amp; Concentration'!C21</c:f>
              <c:strCache>
                <c:ptCount val="1"/>
                <c:pt idx="0">
                  <c:v>Sum Streams (M)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'Q1-2 Overview &amp; Concentration'!$A$22:$A$31</c:f>
              <c:strCache>
                <c:ptCount val="10"/>
                <c:pt idx="0">
                  <c:v>Hip-Hop</c:v>
                </c:pt>
                <c:pt idx="1">
                  <c:v>Pop</c:v>
                </c:pt>
                <c:pt idx="2">
                  <c:v>Reggaeton</c:v>
                </c:pt>
                <c:pt idx="3">
                  <c:v>Rock</c:v>
                </c:pt>
                <c:pt idx="4">
                  <c:v>R&amp;B</c:v>
                </c:pt>
                <c:pt idx="5">
                  <c:v>Latin</c:v>
                </c:pt>
                <c:pt idx="6">
                  <c:v>EDM</c:v>
                </c:pt>
                <c:pt idx="7">
                  <c:v>Regional Mexican</c:v>
                </c:pt>
                <c:pt idx="8">
                  <c:v>K-Pop</c:v>
                </c:pt>
                <c:pt idx="9">
                  <c:v>Filmi</c:v>
                </c:pt>
              </c:strCache>
            </c:strRef>
          </c:cat>
          <c:val>
            <c:numRef>
              <c:f>'Q1-2 Overview &amp; Concentration'!$C$22:$C$31</c:f>
              <c:numCache>
                <c:formatCode>#,##0</c:formatCode>
                <c:ptCount val="10"/>
                <c:pt idx="0">
                  <c:v>2126055.1</c:v>
                </c:pt>
                <c:pt idx="1">
                  <c:v>2003601.8</c:v>
                </c:pt>
                <c:pt idx="2">
                  <c:v>888855.1</c:v>
                </c:pt>
                <c:pt idx="3">
                  <c:v>812082.6</c:v>
                </c:pt>
                <c:pt idx="4">
                  <c:v>570698.4</c:v>
                </c:pt>
                <c:pt idx="5">
                  <c:v>377962</c:v>
                </c:pt>
                <c:pt idx="6">
                  <c:v>367096.9</c:v>
                </c:pt>
                <c:pt idx="7">
                  <c:v>256013.5</c:v>
                </c:pt>
                <c:pt idx="8">
                  <c:v>157338.7</c:v>
                </c:pt>
                <c:pt idx="9">
                  <c:v>151357.9</c:v>
                </c:pt>
              </c:numCache>
            </c:numRef>
          </c:val>
        </c:ser>
        <c:gapWidth val="150"/>
        <c:overlap val="0"/>
        <c:axId val="88901885"/>
        <c:axId val="47897650"/>
      </c:barChart>
      <c:catAx>
        <c:axId val="889018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97650"/>
        <c:crosses val="autoZero"/>
        <c:auto val="1"/>
        <c:lblAlgn val="ctr"/>
        <c:lblOffset val="100"/>
        <c:noMultiLvlLbl val="0"/>
      </c:catAx>
      <c:valAx>
        <c:axId val="47897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Streams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018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Artists by Streams/Year Active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'Q3 Artist Efficiency'!F7</c:f>
              <c:strCache>
                <c:ptCount val="1"/>
                <c:pt idx="0">
                  <c:v>Streams/Year Active (M)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'Q3 Artist Efficiency'!$B$8:$B$17</c:f>
              <c:strCache>
                <c:ptCount val="10"/>
                <c:pt idx="0">
                  <c:v>Bad Bunny</c:v>
                </c:pt>
                <c:pt idx="1">
                  <c:v>Drake</c:v>
                </c:pt>
                <c:pt idx="2">
                  <c:v>Taylor Swift</c:v>
                </c:pt>
                <c:pt idx="3">
                  <c:v>Olivia Rodrigo</c:v>
                </c:pt>
                <c:pt idx="4">
                  <c:v>The Weeknd</c:v>
                </c:pt>
                <c:pt idx="5">
                  <c:v>Peso Pluma</c:v>
                </c:pt>
                <c:pt idx="6">
                  <c:v>Billie Eilish</c:v>
                </c:pt>
                <c:pt idx="7">
                  <c:v>Ariana Grande</c:v>
                </c:pt>
                <c:pt idx="8">
                  <c:v>Travis Scott</c:v>
                </c:pt>
                <c:pt idx="9">
                  <c:v>Tito Double P</c:v>
                </c:pt>
              </c:strCache>
            </c:strRef>
          </c:cat>
          <c:val>
            <c:numRef>
              <c:f>'Q3 Artist Efficiency'!$F$8:$F$17</c:f>
              <c:numCache>
                <c:formatCode>#,##0.0</c:formatCode>
                <c:ptCount val="10"/>
                <c:pt idx="0">
                  <c:v>9684.6</c:v>
                </c:pt>
                <c:pt idx="1">
                  <c:v>6874.605</c:v>
                </c:pt>
                <c:pt idx="2">
                  <c:v>6393.05</c:v>
                </c:pt>
                <c:pt idx="3">
                  <c:v>5759.94</c:v>
                </c:pt>
                <c:pt idx="4">
                  <c:v>5629.6</c:v>
                </c:pt>
                <c:pt idx="5">
                  <c:v>5529.96666666667</c:v>
                </c:pt>
                <c:pt idx="6">
                  <c:v>5277.22727272727</c:v>
                </c:pt>
                <c:pt idx="7">
                  <c:v>5253.76153846154</c:v>
                </c:pt>
                <c:pt idx="8">
                  <c:v>5026.9</c:v>
                </c:pt>
                <c:pt idx="9">
                  <c:v>4722.2</c:v>
                </c:pt>
              </c:numCache>
            </c:numRef>
          </c:val>
        </c:ser>
        <c:gapWidth val="150"/>
        <c:overlap val="0"/>
        <c:axId val="12022837"/>
        <c:axId val="43651115"/>
      </c:barChart>
      <c:catAx>
        <c:axId val="120228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51115"/>
        <c:crosses val="autoZero"/>
        <c:auto val="1"/>
        <c:lblAlgn val="ctr"/>
        <c:lblOffset val="100"/>
        <c:noMultiLvlLbl val="0"/>
      </c:catAx>
      <c:valAx>
        <c:axId val="43651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228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Total Streams by Collaboration Band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'Q4 Collab Strategy'!C8</c:f>
              <c:strCache>
                <c:ptCount val="1"/>
                <c:pt idx="0">
                  <c:v>Avg Total Streams (M)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'Q4 Collab Strategy'!$A$9:$A$12</c:f>
              <c:strCache>
                <c:ptCount val="4"/>
                <c:pt idx="0">
                  <c:v>0-25% Collab</c:v>
                </c:pt>
                <c:pt idx="1">
                  <c:v>25-50% Collab</c:v>
                </c:pt>
                <c:pt idx="2">
                  <c:v>50-75% Collab</c:v>
                </c:pt>
                <c:pt idx="3">
                  <c:v>75-100% Collab</c:v>
                </c:pt>
              </c:strCache>
            </c:strRef>
          </c:cat>
          <c:val>
            <c:numRef>
              <c:f>'Q4 Collab Strategy'!$C$9:$C$12</c:f>
              <c:numCache>
                <c:formatCode>#,##0.0</c:formatCode>
                <c:ptCount val="4"/>
                <c:pt idx="0">
                  <c:v>14261.4539877301</c:v>
                </c:pt>
                <c:pt idx="1">
                  <c:v>19946.4093333333</c:v>
                </c:pt>
                <c:pt idx="2">
                  <c:v>20433.3586206897</c:v>
                </c:pt>
                <c:pt idx="3">
                  <c:v>15191.3547945205</c:v>
                </c:pt>
              </c:numCache>
            </c:numRef>
          </c:val>
        </c:ser>
        <c:gapWidth val="150"/>
        <c:overlap val="0"/>
        <c:axId val="35342906"/>
        <c:axId val="78545405"/>
      </c:barChart>
      <c:catAx>
        <c:axId val="353429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45405"/>
        <c:crosses val="autoZero"/>
        <c:auto val="1"/>
        <c:lblAlgn val="ctr"/>
        <c:lblOffset val="100"/>
        <c:noMultiLvlLbl val="0"/>
      </c:catAx>
      <c:valAx>
        <c:axId val="78545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429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Streams/Year Active by Era Bucket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'Q6 Legacy vs Emerging'!D5</c:f>
              <c:strCache>
                <c:ptCount val="1"/>
                <c:pt idx="0">
                  <c:v>Avg Streams/Year Active (M)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'Q6 Legacy vs Emerging'!$A$6:$A$8</c:f>
              <c:strCache>
                <c:ptCount val="3"/>
                <c:pt idx="0">
                  <c:v>Legacy (pre-2010)</c:v>
                </c:pt>
                <c:pt idx="1">
                  <c:v>Established (2010-2017)</c:v>
                </c:pt>
                <c:pt idx="2">
                  <c:v>Emerging (2018+)</c:v>
                </c:pt>
              </c:strCache>
            </c:strRef>
          </c:cat>
          <c:val>
            <c:numRef>
              <c:f>'Q6 Legacy vs Emerging'!$D$6:$D$8</c:f>
              <c:numCache>
                <c:formatCode>#,##0.0</c:formatCode>
                <c:ptCount val="3"/>
                <c:pt idx="0">
                  <c:v>699.560370622705</c:v>
                </c:pt>
                <c:pt idx="1">
                  <c:v>1427.84286660133</c:v>
                </c:pt>
                <c:pt idx="2">
                  <c:v>2034.10626068376</c:v>
                </c:pt>
              </c:numCache>
            </c:numRef>
          </c:val>
        </c:ser>
        <c:gapWidth val="150"/>
        <c:overlap val="0"/>
        <c:axId val="67287505"/>
        <c:axId val="33087688"/>
      </c:barChart>
      <c:catAx>
        <c:axId val="672875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87688"/>
        <c:crosses val="autoZero"/>
        <c:auto val="1"/>
        <c:lblAlgn val="ctr"/>
        <c:lblOffset val="100"/>
        <c:noMultiLvlLbl val="0"/>
      </c:catAx>
      <c:valAx>
        <c:axId val="33087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875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Total Streams by Gender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'Q7 Gender Patterns'!C3</c:f>
              <c:strCache>
                <c:ptCount val="1"/>
                <c:pt idx="0">
                  <c:v>Avg Total Streams (M)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'Q7 Gender Patterns'!$A$4:$A$6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Mixed</c:v>
                </c:pt>
              </c:strCache>
            </c:strRef>
          </c:cat>
          <c:val>
            <c:numRef>
              <c:f>'Q7 Gender Patterns'!$C$4:$C$6</c:f>
              <c:numCache>
                <c:formatCode>#,##0.0</c:formatCode>
                <c:ptCount val="3"/>
                <c:pt idx="0">
                  <c:v>16507.787948718</c:v>
                </c:pt>
                <c:pt idx="1">
                  <c:v>18593.4965909091</c:v>
                </c:pt>
                <c:pt idx="2">
                  <c:v>15206.3681818182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12</xdr:col>
      <xdr:colOff>581400</xdr:colOff>
      <xdr:row>22</xdr:row>
      <xdr:rowOff>119520</xdr:rowOff>
    </xdr:to>
    <xdr:graphicFrame>
      <xdr:nvGraphicFramePr>
        <xdr:cNvPr id="0" name="Chart 1"/>
        <xdr:cNvGraphicFramePr/>
      </xdr:nvGraphicFramePr>
      <xdr:xfrm>
        <a:off x="0" y="3808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</xdr:row>
      <xdr:rowOff>160560</xdr:rowOff>
    </xdr:from>
    <xdr:to>
      <xdr:col>24</xdr:col>
      <xdr:colOff>581760</xdr:colOff>
      <xdr:row>22</xdr:row>
      <xdr:rowOff>119520</xdr:rowOff>
    </xdr:to>
    <xdr:graphicFrame>
      <xdr:nvGraphicFramePr>
        <xdr:cNvPr id="1" name="Chart 2"/>
        <xdr:cNvGraphicFramePr/>
      </xdr:nvGraphicFramePr>
      <xdr:xfrm>
        <a:off x="7338240" y="3808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160560</xdr:rowOff>
    </xdr:from>
    <xdr:to>
      <xdr:col>10</xdr:col>
      <xdr:colOff>364680</xdr:colOff>
      <xdr:row>45</xdr:row>
      <xdr:rowOff>119880</xdr:rowOff>
    </xdr:to>
    <xdr:graphicFrame>
      <xdr:nvGraphicFramePr>
        <xdr:cNvPr id="2" name="Chart 3"/>
        <xdr:cNvGraphicFramePr/>
      </xdr:nvGraphicFramePr>
      <xdr:xfrm>
        <a:off x="0" y="47624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24</xdr:row>
      <xdr:rowOff>160560</xdr:rowOff>
    </xdr:from>
    <xdr:to>
      <xdr:col>22</xdr:col>
      <xdr:colOff>364680</xdr:colOff>
      <xdr:row>45</xdr:row>
      <xdr:rowOff>119880</xdr:rowOff>
    </xdr:to>
    <xdr:graphicFrame>
      <xdr:nvGraphicFramePr>
        <xdr:cNvPr id="3" name="Chart 4"/>
        <xdr:cNvGraphicFramePr/>
      </xdr:nvGraphicFramePr>
      <xdr:xfrm>
        <a:off x="7338240" y="47624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160560</xdr:rowOff>
    </xdr:from>
    <xdr:to>
      <xdr:col>9</xdr:col>
      <xdr:colOff>255960</xdr:colOff>
      <xdr:row>68</xdr:row>
      <xdr:rowOff>119880</xdr:rowOff>
    </xdr:to>
    <xdr:graphicFrame>
      <xdr:nvGraphicFramePr>
        <xdr:cNvPr id="4" name="Chart 5"/>
        <xdr:cNvGraphicFramePr/>
      </xdr:nvGraphicFramePr>
      <xdr:xfrm>
        <a:off x="0" y="914400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n">
        <v>2006</v>
      </c>
      <c r="H2" s="3" t="n">
        <v>137492.1</v>
      </c>
      <c r="I2" s="3" t="n">
        <v>94851.1</v>
      </c>
      <c r="J2" s="3" t="n">
        <v>42640.9</v>
      </c>
      <c r="K2" s="3" t="n">
        <v>53323.9</v>
      </c>
      <c r="L2" s="4" t="n">
        <v>38.78324646</v>
      </c>
      <c r="M2" s="3" t="n">
        <v>84168.2</v>
      </c>
      <c r="N2" s="4" t="n">
        <v>61.21675354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17</v>
      </c>
      <c r="E3" s="2" t="s">
        <v>23</v>
      </c>
      <c r="F3" s="2" t="s">
        <v>19</v>
      </c>
      <c r="G3" s="2" t="n">
        <v>2006</v>
      </c>
      <c r="H3" s="3" t="n">
        <v>127861</v>
      </c>
      <c r="I3" s="3" t="n">
        <v>126177.3</v>
      </c>
      <c r="J3" s="3" t="n">
        <v>1683.8</v>
      </c>
      <c r="K3" s="3" t="n">
        <v>113421.5</v>
      </c>
      <c r="L3" s="4" t="n">
        <v>88.706877</v>
      </c>
      <c r="M3" s="3" t="n">
        <v>14439.5</v>
      </c>
      <c r="N3" s="4" t="n">
        <v>11.293123</v>
      </c>
    </row>
    <row r="4" customFormat="false" ht="15" hidden="false" customHeight="false" outlineLevel="0" collapsed="false">
      <c r="A4" s="2" t="s">
        <v>24</v>
      </c>
      <c r="B4" s="2" t="s">
        <v>15</v>
      </c>
      <c r="C4" s="2" t="s">
        <v>22</v>
      </c>
      <c r="D4" s="2" t="s">
        <v>25</v>
      </c>
      <c r="E4" s="2" t="s">
        <v>26</v>
      </c>
      <c r="F4" s="2" t="s">
        <v>19</v>
      </c>
      <c r="G4" s="2" t="n">
        <v>2013</v>
      </c>
      <c r="H4" s="3" t="n">
        <v>125899.8</v>
      </c>
      <c r="I4" s="3" t="n">
        <v>82189.3</v>
      </c>
      <c r="J4" s="3" t="n">
        <v>43710.5</v>
      </c>
      <c r="K4" s="3" t="n">
        <v>48887</v>
      </c>
      <c r="L4" s="4" t="n">
        <v>38.83008551</v>
      </c>
      <c r="M4" s="3" t="n">
        <v>77012.8</v>
      </c>
      <c r="N4" s="4" t="n">
        <v>61.16991449</v>
      </c>
    </row>
    <row r="5" customFormat="false" ht="15" hidden="false" customHeight="false" outlineLevel="0" collapsed="false">
      <c r="A5" s="2" t="s">
        <v>27</v>
      </c>
      <c r="B5" s="2" t="s">
        <v>15</v>
      </c>
      <c r="C5" s="2" t="s">
        <v>16</v>
      </c>
      <c r="D5" s="2" t="s">
        <v>17</v>
      </c>
      <c r="E5" s="2" t="s">
        <v>28</v>
      </c>
      <c r="F5" s="2" t="s">
        <v>19</v>
      </c>
      <c r="G5" s="2" t="n">
        <v>2009</v>
      </c>
      <c r="H5" s="3" t="n">
        <v>95703.2</v>
      </c>
      <c r="I5" s="3" t="n">
        <v>77189.4</v>
      </c>
      <c r="J5" s="3" t="n">
        <v>18513.8</v>
      </c>
      <c r="K5" s="3" t="n">
        <v>51020</v>
      </c>
      <c r="L5" s="4" t="n">
        <v>53.3106521</v>
      </c>
      <c r="M5" s="3" t="n">
        <v>44683.2</v>
      </c>
      <c r="N5" s="4" t="n">
        <v>46.6893479</v>
      </c>
    </row>
    <row r="6" customFormat="false" ht="15" hidden="false" customHeight="false" outlineLevel="0" collapsed="false">
      <c r="A6" s="2" t="s">
        <v>29</v>
      </c>
      <c r="B6" s="2" t="s">
        <v>15</v>
      </c>
      <c r="C6" s="2" t="s">
        <v>16</v>
      </c>
      <c r="D6" s="2" t="s">
        <v>17</v>
      </c>
      <c r="E6" s="2" t="s">
        <v>23</v>
      </c>
      <c r="F6" s="2" t="s">
        <v>19</v>
      </c>
      <c r="G6" s="2" t="n">
        <v>2009</v>
      </c>
      <c r="H6" s="3" t="n">
        <v>78104.4</v>
      </c>
      <c r="I6" s="3" t="n">
        <v>48316.2</v>
      </c>
      <c r="J6" s="3" t="n">
        <v>29788.2</v>
      </c>
      <c r="K6" s="3" t="n">
        <v>29638.3</v>
      </c>
      <c r="L6" s="4" t="n">
        <v>37.94702987</v>
      </c>
      <c r="M6" s="3" t="n">
        <v>48466.1</v>
      </c>
      <c r="N6" s="4" t="n">
        <v>62.05297013</v>
      </c>
    </row>
    <row r="7" customFormat="false" ht="15" hidden="false" customHeight="false" outlineLevel="0" collapsed="false">
      <c r="A7" s="2" t="s">
        <v>30</v>
      </c>
      <c r="B7" s="2" t="s">
        <v>21</v>
      </c>
      <c r="C7" s="2" t="s">
        <v>22</v>
      </c>
      <c r="D7" s="2" t="s">
        <v>17</v>
      </c>
      <c r="E7" s="2" t="s">
        <v>23</v>
      </c>
      <c r="F7" s="2" t="s">
        <v>19</v>
      </c>
      <c r="G7" s="2" t="n">
        <v>2013</v>
      </c>
      <c r="H7" s="3" t="n">
        <v>68298.9</v>
      </c>
      <c r="I7" s="3" t="n">
        <v>57097.5</v>
      </c>
      <c r="J7" s="3" t="n">
        <v>11201.4</v>
      </c>
      <c r="K7" s="3" t="n">
        <v>41615.5</v>
      </c>
      <c r="L7" s="4" t="n">
        <v>60.93143521</v>
      </c>
      <c r="M7" s="3" t="n">
        <v>26683.4</v>
      </c>
      <c r="N7" s="4" t="n">
        <v>39.06856479</v>
      </c>
    </row>
    <row r="8" customFormat="false" ht="15" hidden="false" customHeight="false" outlineLevel="0" collapsed="false">
      <c r="A8" s="2" t="s">
        <v>31</v>
      </c>
      <c r="B8" s="2" t="s">
        <v>15</v>
      </c>
      <c r="C8" s="2" t="s">
        <v>22</v>
      </c>
      <c r="D8" s="2" t="s">
        <v>17</v>
      </c>
      <c r="E8" s="2" t="s">
        <v>18</v>
      </c>
      <c r="F8" s="2" t="s">
        <v>19</v>
      </c>
      <c r="G8" s="2" t="n">
        <v>2013</v>
      </c>
      <c r="H8" s="3" t="n">
        <v>65349.7</v>
      </c>
      <c r="I8" s="3" t="n">
        <v>35338.7</v>
      </c>
      <c r="J8" s="3" t="n">
        <v>30027</v>
      </c>
      <c r="K8" s="3" t="n">
        <v>25309.9</v>
      </c>
      <c r="L8" s="4" t="n">
        <v>38.72994061</v>
      </c>
      <c r="M8" s="3" t="n">
        <v>40039.8</v>
      </c>
      <c r="N8" s="4" t="n">
        <v>61.27005939</v>
      </c>
    </row>
    <row r="9" customFormat="false" ht="15" hidden="false" customHeight="false" outlineLevel="0" collapsed="false">
      <c r="A9" s="2" t="s">
        <v>32</v>
      </c>
      <c r="B9" s="2" t="s">
        <v>15</v>
      </c>
      <c r="C9" s="2" t="s">
        <v>22</v>
      </c>
      <c r="D9" s="2" t="s">
        <v>17</v>
      </c>
      <c r="E9" s="2" t="s">
        <v>18</v>
      </c>
      <c r="F9" s="2" t="s">
        <v>19</v>
      </c>
      <c r="G9" s="2" t="n">
        <v>2004</v>
      </c>
      <c r="H9" s="3" t="n">
        <v>65142.9</v>
      </c>
      <c r="I9" s="3" t="n">
        <v>46558.4</v>
      </c>
      <c r="J9" s="3" t="n">
        <v>18584.5</v>
      </c>
      <c r="K9" s="3" t="n">
        <v>28473</v>
      </c>
      <c r="L9" s="4" t="n">
        <v>43.70852388</v>
      </c>
      <c r="M9" s="3" t="n">
        <v>36669.9</v>
      </c>
      <c r="N9" s="4" t="n">
        <v>56.29147612</v>
      </c>
    </row>
    <row r="10" customFormat="false" ht="15" hidden="false" customHeight="false" outlineLevel="0" collapsed="false">
      <c r="A10" s="2" t="s">
        <v>33</v>
      </c>
      <c r="B10" s="2" t="s">
        <v>15</v>
      </c>
      <c r="C10" s="2" t="s">
        <v>34</v>
      </c>
      <c r="D10" s="2" t="s">
        <v>17</v>
      </c>
      <c r="E10" s="2" t="s">
        <v>23</v>
      </c>
      <c r="F10" s="2" t="s">
        <v>19</v>
      </c>
      <c r="G10" s="2" t="n">
        <v>2011</v>
      </c>
      <c r="H10" s="3" t="n">
        <v>64656.9</v>
      </c>
      <c r="I10" s="3" t="n">
        <v>57704</v>
      </c>
      <c r="J10" s="3" t="n">
        <v>6967.8</v>
      </c>
      <c r="K10" s="3" t="n">
        <v>46700</v>
      </c>
      <c r="L10" s="4" t="n">
        <v>72.22740342</v>
      </c>
      <c r="M10" s="3" t="n">
        <v>17956.9</v>
      </c>
      <c r="N10" s="4" t="n">
        <v>27.77259658</v>
      </c>
    </row>
    <row r="11" customFormat="false" ht="15" hidden="false" customHeight="false" outlineLevel="0" collapsed="false">
      <c r="A11" s="2" t="s">
        <v>35</v>
      </c>
      <c r="B11" s="2" t="s">
        <v>15</v>
      </c>
      <c r="C11" s="2" t="s">
        <v>22</v>
      </c>
      <c r="D11" s="2" t="s">
        <v>17</v>
      </c>
      <c r="E11" s="2" t="s">
        <v>18</v>
      </c>
      <c r="F11" s="2" t="s">
        <v>19</v>
      </c>
      <c r="G11" s="2" t="n">
        <v>1996</v>
      </c>
      <c r="H11" s="3" t="n">
        <v>64549</v>
      </c>
      <c r="I11" s="3" t="n">
        <v>54466.8</v>
      </c>
      <c r="J11" s="3" t="n">
        <v>10100.7</v>
      </c>
      <c r="K11" s="3" t="n">
        <v>32940</v>
      </c>
      <c r="L11" s="4" t="n">
        <v>51.03099971</v>
      </c>
      <c r="M11" s="3" t="n">
        <v>31609</v>
      </c>
      <c r="N11" s="4" t="n">
        <v>48.96900029</v>
      </c>
    </row>
    <row r="12" customFormat="false" ht="15" hidden="false" customHeight="false" outlineLevel="0" collapsed="false">
      <c r="A12" s="2" t="s">
        <v>36</v>
      </c>
      <c r="B12" s="2" t="s">
        <v>21</v>
      </c>
      <c r="C12" s="2" t="s">
        <v>37</v>
      </c>
      <c r="D12" s="2" t="s">
        <v>17</v>
      </c>
      <c r="E12" s="2" t="s">
        <v>23</v>
      </c>
      <c r="F12" s="2" t="s">
        <v>19</v>
      </c>
      <c r="G12" s="2" t="n">
        <v>2005</v>
      </c>
      <c r="H12" s="3" t="n">
        <v>60670.7</v>
      </c>
      <c r="I12" s="3" t="n">
        <v>44824.4</v>
      </c>
      <c r="J12" s="3" t="n">
        <v>15846.4</v>
      </c>
      <c r="K12" s="3" t="n">
        <v>30261.8</v>
      </c>
      <c r="L12" s="4" t="n">
        <v>49.8787718</v>
      </c>
      <c r="M12" s="3" t="n">
        <v>30408.9</v>
      </c>
      <c r="N12" s="4" t="n">
        <v>50.1212282</v>
      </c>
    </row>
    <row r="13" customFormat="false" ht="15" hidden="false" customHeight="false" outlineLevel="0" collapsed="false">
      <c r="A13" s="2" t="s">
        <v>38</v>
      </c>
      <c r="B13" s="2" t="s">
        <v>21</v>
      </c>
      <c r="C13" s="2" t="s">
        <v>22</v>
      </c>
      <c r="D13" s="2" t="s">
        <v>17</v>
      </c>
      <c r="E13" s="2" t="s">
        <v>23</v>
      </c>
      <c r="F13" s="2" t="s">
        <v>19</v>
      </c>
      <c r="G13" s="2" t="n">
        <v>2015</v>
      </c>
      <c r="H13" s="3" t="n">
        <v>58049.5</v>
      </c>
      <c r="I13" s="3" t="n">
        <v>57160.1</v>
      </c>
      <c r="J13" s="3" t="n">
        <v>889.4</v>
      </c>
      <c r="K13" s="3" t="n">
        <v>51567.9</v>
      </c>
      <c r="L13" s="4" t="n">
        <v>88.83435689</v>
      </c>
      <c r="M13" s="3" t="n">
        <v>6481.6</v>
      </c>
      <c r="N13" s="4" t="n">
        <v>11.16564311</v>
      </c>
    </row>
    <row r="14" customFormat="false" ht="15" hidden="false" customHeight="false" outlineLevel="0" collapsed="false">
      <c r="A14" s="2" t="s">
        <v>39</v>
      </c>
      <c r="B14" s="2" t="s">
        <v>15</v>
      </c>
      <c r="C14" s="2" t="s">
        <v>22</v>
      </c>
      <c r="D14" s="2" t="s">
        <v>17</v>
      </c>
      <c r="E14" s="2" t="s">
        <v>23</v>
      </c>
      <c r="F14" s="2" t="s">
        <v>19</v>
      </c>
      <c r="G14" s="2" t="n">
        <v>2010</v>
      </c>
      <c r="H14" s="3" t="n">
        <v>56727.1</v>
      </c>
      <c r="I14" s="3" t="n">
        <v>40714</v>
      </c>
      <c r="J14" s="3" t="n">
        <v>16013.1</v>
      </c>
      <c r="K14" s="3" t="n">
        <v>33618.1</v>
      </c>
      <c r="L14" s="4" t="n">
        <v>59.26285673</v>
      </c>
      <c r="M14" s="3" t="n">
        <v>23109</v>
      </c>
      <c r="N14" s="4" t="n">
        <v>40.73714327</v>
      </c>
    </row>
    <row r="15" customFormat="false" ht="15" hidden="false" customHeight="false" outlineLevel="0" collapsed="false">
      <c r="A15" s="2" t="s">
        <v>40</v>
      </c>
      <c r="B15" s="2" t="s">
        <v>15</v>
      </c>
      <c r="C15" s="2" t="s">
        <v>22</v>
      </c>
      <c r="D15" s="2" t="s">
        <v>17</v>
      </c>
      <c r="E15" s="2" t="s">
        <v>18</v>
      </c>
      <c r="F15" s="2" t="s">
        <v>19</v>
      </c>
      <c r="G15" s="2" t="n">
        <v>2009</v>
      </c>
      <c r="H15" s="3" t="n">
        <v>56459.5</v>
      </c>
      <c r="I15" s="3" t="n">
        <v>40752.2</v>
      </c>
      <c r="J15" s="3" t="n">
        <v>15725</v>
      </c>
      <c r="K15" s="3" t="n">
        <v>23403.5</v>
      </c>
      <c r="L15" s="4" t="n">
        <v>41.45183716</v>
      </c>
      <c r="M15" s="3" t="n">
        <v>33056</v>
      </c>
      <c r="N15" s="4" t="n">
        <v>58.54816284</v>
      </c>
    </row>
    <row r="16" customFormat="false" ht="15" hidden="false" customHeight="false" outlineLevel="0" collapsed="false">
      <c r="A16" s="2" t="s">
        <v>41</v>
      </c>
      <c r="B16" s="2" t="s">
        <v>15</v>
      </c>
      <c r="C16" s="2" t="s">
        <v>22</v>
      </c>
      <c r="D16" s="2" t="s">
        <v>17</v>
      </c>
      <c r="E16" s="2" t="s">
        <v>23</v>
      </c>
      <c r="F16" s="2" t="s">
        <v>19</v>
      </c>
      <c r="G16" s="2" t="n">
        <v>2011</v>
      </c>
      <c r="H16" s="3" t="n">
        <v>55028.3</v>
      </c>
      <c r="I16" s="3" t="n">
        <v>48805.6</v>
      </c>
      <c r="J16" s="3" t="n">
        <v>6235.6</v>
      </c>
      <c r="K16" s="3" t="n">
        <v>25419.4</v>
      </c>
      <c r="L16" s="4" t="n">
        <v>46.19332235</v>
      </c>
      <c r="M16" s="3" t="n">
        <v>29608.9</v>
      </c>
      <c r="N16" s="4" t="n">
        <v>53.80667765</v>
      </c>
    </row>
    <row r="17" customFormat="false" ht="15" hidden="false" customHeight="false" outlineLevel="0" collapsed="false">
      <c r="A17" s="2" t="s">
        <v>42</v>
      </c>
      <c r="B17" s="2" t="s">
        <v>15</v>
      </c>
      <c r="C17" s="2" t="s">
        <v>43</v>
      </c>
      <c r="D17" s="2" t="s">
        <v>25</v>
      </c>
      <c r="E17" s="2" t="s">
        <v>26</v>
      </c>
      <c r="F17" s="2" t="s">
        <v>19</v>
      </c>
      <c r="G17" s="2" t="n">
        <v>2004</v>
      </c>
      <c r="H17" s="3" t="n">
        <v>54649.2</v>
      </c>
      <c r="I17" s="3" t="n">
        <v>25333.3</v>
      </c>
      <c r="J17" s="3" t="n">
        <v>29334</v>
      </c>
      <c r="K17" s="3" t="n">
        <v>7844.5</v>
      </c>
      <c r="L17" s="4" t="n">
        <v>14.35428149</v>
      </c>
      <c r="M17" s="3" t="n">
        <v>46804.7</v>
      </c>
      <c r="N17" s="4" t="n">
        <v>85.64571851</v>
      </c>
    </row>
    <row r="18" customFormat="false" ht="15" hidden="false" customHeight="false" outlineLevel="0" collapsed="false">
      <c r="A18" s="2" t="s">
        <v>44</v>
      </c>
      <c r="B18" s="2" t="s">
        <v>15</v>
      </c>
      <c r="C18" s="2" t="s">
        <v>22</v>
      </c>
      <c r="D18" s="2" t="s">
        <v>17</v>
      </c>
      <c r="E18" s="2" t="s">
        <v>18</v>
      </c>
      <c r="F18" s="2" t="s">
        <v>19</v>
      </c>
      <c r="G18" s="2" t="n">
        <v>2010</v>
      </c>
      <c r="H18" s="3" t="n">
        <v>53951.5</v>
      </c>
      <c r="I18" s="3" t="n">
        <v>27879</v>
      </c>
      <c r="J18" s="3" t="n">
        <v>26072.5</v>
      </c>
      <c r="K18" s="3" t="n">
        <v>12647.5</v>
      </c>
      <c r="L18" s="4" t="n">
        <v>23.442351</v>
      </c>
      <c r="M18" s="3" t="n">
        <v>41304</v>
      </c>
      <c r="N18" s="4" t="n">
        <v>76.557649</v>
      </c>
    </row>
    <row r="19" customFormat="false" ht="15" hidden="false" customHeight="false" outlineLevel="0" collapsed="false">
      <c r="A19" s="2" t="s">
        <v>45</v>
      </c>
      <c r="B19" s="2" t="s">
        <v>15</v>
      </c>
      <c r="C19" s="2" t="s">
        <v>46</v>
      </c>
      <c r="D19" s="2" t="s">
        <v>47</v>
      </c>
      <c r="E19" s="2" t="s">
        <v>48</v>
      </c>
      <c r="F19" s="2" t="s">
        <v>49</v>
      </c>
      <c r="G19" s="2" t="n">
        <v>2013</v>
      </c>
      <c r="H19" s="3" t="n">
        <v>53308.9</v>
      </c>
      <c r="I19" s="3" t="n">
        <v>47969.9</v>
      </c>
      <c r="J19" s="3" t="n">
        <v>5339</v>
      </c>
      <c r="K19" s="3" t="n">
        <v>44114.4</v>
      </c>
      <c r="L19" s="4" t="n">
        <v>82.75241095</v>
      </c>
      <c r="M19" s="3" t="n">
        <v>9194.5</v>
      </c>
      <c r="N19" s="4" t="n">
        <v>17.24758905</v>
      </c>
    </row>
    <row r="20" customFormat="false" ht="15" hidden="false" customHeight="false" outlineLevel="0" collapsed="false">
      <c r="A20" s="2" t="s">
        <v>50</v>
      </c>
      <c r="B20" s="2" t="s">
        <v>15</v>
      </c>
      <c r="C20" s="2" t="s">
        <v>22</v>
      </c>
      <c r="D20" s="2" t="s">
        <v>25</v>
      </c>
      <c r="E20" s="2" t="s">
        <v>26</v>
      </c>
      <c r="F20" s="2" t="s">
        <v>19</v>
      </c>
      <c r="G20" s="2" t="n">
        <v>2012</v>
      </c>
      <c r="H20" s="3" t="n">
        <v>47649.2</v>
      </c>
      <c r="I20" s="3" t="n">
        <v>20247.1</v>
      </c>
      <c r="J20" s="3" t="n">
        <v>27418.9</v>
      </c>
      <c r="K20" s="3" t="n">
        <v>8621.1</v>
      </c>
      <c r="L20" s="4" t="n">
        <v>18.09285361</v>
      </c>
      <c r="M20" s="3" t="n">
        <v>39028.1</v>
      </c>
      <c r="N20" s="4" t="n">
        <v>81.90714639</v>
      </c>
    </row>
    <row r="21" customFormat="false" ht="15" hidden="false" customHeight="false" outlineLevel="0" collapsed="false">
      <c r="A21" s="2" t="s">
        <v>51</v>
      </c>
      <c r="B21" s="2" t="s">
        <v>15</v>
      </c>
      <c r="C21" s="2" t="s">
        <v>34</v>
      </c>
      <c r="D21" s="2" t="s">
        <v>17</v>
      </c>
      <c r="E21" s="2" t="s">
        <v>52</v>
      </c>
      <c r="F21" s="2" t="s">
        <v>49</v>
      </c>
      <c r="G21" s="2" t="n">
        <v>1999</v>
      </c>
      <c r="H21" s="3" t="n">
        <v>46720.4</v>
      </c>
      <c r="I21" s="3" t="n">
        <v>42837.1</v>
      </c>
      <c r="J21" s="3" t="n">
        <v>3901.3</v>
      </c>
      <c r="K21" s="3" t="n">
        <v>38535.2</v>
      </c>
      <c r="L21" s="4" t="n">
        <v>82.48045822</v>
      </c>
      <c r="M21" s="3" t="n">
        <v>8185.2</v>
      </c>
      <c r="N21" s="4" t="n">
        <v>17.51954178</v>
      </c>
    </row>
    <row r="22" customFormat="false" ht="15" hidden="false" customHeight="false" outlineLevel="0" collapsed="false">
      <c r="A22" s="2" t="s">
        <v>53</v>
      </c>
      <c r="B22" s="2" t="s">
        <v>15</v>
      </c>
      <c r="C22" s="2" t="s">
        <v>22</v>
      </c>
      <c r="D22" s="2" t="s">
        <v>17</v>
      </c>
      <c r="E22" s="2" t="s">
        <v>18</v>
      </c>
      <c r="F22" s="2" t="s">
        <v>19</v>
      </c>
      <c r="G22" s="2" t="n">
        <v>2015</v>
      </c>
      <c r="H22" s="3" t="n">
        <v>46276.4</v>
      </c>
      <c r="I22" s="3" t="n">
        <v>34132.1</v>
      </c>
      <c r="J22" s="3" t="n">
        <v>12155.1</v>
      </c>
      <c r="K22" s="3" t="n">
        <v>26675.7</v>
      </c>
      <c r="L22" s="4" t="n">
        <v>57.64428521</v>
      </c>
      <c r="M22" s="3" t="n">
        <v>19600.7</v>
      </c>
      <c r="N22" s="4" t="n">
        <v>42.35571479</v>
      </c>
    </row>
    <row r="23" customFormat="false" ht="15" hidden="false" customHeight="false" outlineLevel="0" collapsed="false">
      <c r="A23" s="2" t="s">
        <v>54</v>
      </c>
      <c r="B23" s="2" t="s">
        <v>15</v>
      </c>
      <c r="C23" s="2" t="s">
        <v>22</v>
      </c>
      <c r="D23" s="2" t="s">
        <v>17</v>
      </c>
      <c r="E23" s="2" t="s">
        <v>28</v>
      </c>
      <c r="F23" s="2" t="s">
        <v>19</v>
      </c>
      <c r="G23" s="2" t="n">
        <v>2005</v>
      </c>
      <c r="H23" s="3" t="n">
        <v>43963.8</v>
      </c>
      <c r="I23" s="3" t="n">
        <v>24455.7</v>
      </c>
      <c r="J23" s="3" t="n">
        <v>19523.9</v>
      </c>
      <c r="K23" s="3" t="n">
        <v>12219.3</v>
      </c>
      <c r="L23" s="4" t="n">
        <v>27.79400325</v>
      </c>
      <c r="M23" s="3" t="n">
        <v>31744.5</v>
      </c>
      <c r="N23" s="4" t="n">
        <v>72.20599675</v>
      </c>
    </row>
    <row r="24" customFormat="false" ht="15" hidden="false" customHeight="false" outlineLevel="0" collapsed="false">
      <c r="A24" s="2" t="s">
        <v>55</v>
      </c>
      <c r="B24" s="2" t="s">
        <v>21</v>
      </c>
      <c r="C24" s="2" t="s">
        <v>56</v>
      </c>
      <c r="D24" s="2" t="s">
        <v>17</v>
      </c>
      <c r="E24" s="2" t="s">
        <v>18</v>
      </c>
      <c r="F24" s="2" t="s">
        <v>19</v>
      </c>
      <c r="G24" s="2" t="n">
        <v>2007</v>
      </c>
      <c r="H24" s="3" t="n">
        <v>43330.3</v>
      </c>
      <c r="I24" s="3" t="n">
        <v>16316.4</v>
      </c>
      <c r="J24" s="3" t="n">
        <v>27027.9</v>
      </c>
      <c r="K24" s="3" t="n">
        <v>9618.2</v>
      </c>
      <c r="L24" s="4" t="n">
        <v>22.19739997</v>
      </c>
      <c r="M24" s="3" t="n">
        <v>33712.1</v>
      </c>
      <c r="N24" s="4" t="n">
        <v>77.80260003</v>
      </c>
    </row>
    <row r="25" customFormat="false" ht="15" hidden="false" customHeight="false" outlineLevel="0" collapsed="false">
      <c r="A25" s="2" t="s">
        <v>57</v>
      </c>
      <c r="B25" s="2" t="s">
        <v>21</v>
      </c>
      <c r="C25" s="2" t="s">
        <v>22</v>
      </c>
      <c r="D25" s="2" t="s">
        <v>17</v>
      </c>
      <c r="E25" s="2" t="s">
        <v>58</v>
      </c>
      <c r="F25" s="2" t="s">
        <v>19</v>
      </c>
      <c r="G25" s="2" t="n">
        <v>2010</v>
      </c>
      <c r="H25" s="3" t="n">
        <v>42464.1</v>
      </c>
      <c r="I25" s="3" t="n">
        <v>38477.3</v>
      </c>
      <c r="J25" s="3" t="n">
        <v>3986.8</v>
      </c>
      <c r="K25" s="3" t="n">
        <v>34578.4</v>
      </c>
      <c r="L25" s="4" t="n">
        <v>81.42972534</v>
      </c>
      <c r="M25" s="3" t="n">
        <v>7885.7</v>
      </c>
      <c r="N25" s="4" t="n">
        <v>18.57027466</v>
      </c>
    </row>
    <row r="26" customFormat="false" ht="15" hidden="false" customHeight="false" outlineLevel="0" collapsed="false">
      <c r="A26" s="2" t="s">
        <v>59</v>
      </c>
      <c r="B26" s="2" t="s">
        <v>15</v>
      </c>
      <c r="C26" s="2" t="s">
        <v>60</v>
      </c>
      <c r="D26" s="2" t="s">
        <v>17</v>
      </c>
      <c r="E26" s="2" t="s">
        <v>61</v>
      </c>
      <c r="F26" s="2" t="s">
        <v>19</v>
      </c>
      <c r="G26" s="2" t="n">
        <v>1990</v>
      </c>
      <c r="H26" s="3" t="n">
        <v>42059.5</v>
      </c>
      <c r="I26" s="3" t="n">
        <v>30750.8</v>
      </c>
      <c r="J26" s="3" t="n">
        <v>11325.3</v>
      </c>
      <c r="K26" s="3" t="n">
        <v>406.8</v>
      </c>
      <c r="L26" s="4" t="n">
        <v>0.9672012268</v>
      </c>
      <c r="M26" s="3" t="n">
        <v>41652.7</v>
      </c>
      <c r="N26" s="4" t="n">
        <v>99.03279877</v>
      </c>
    </row>
    <row r="27" customFormat="false" ht="15" hidden="false" customHeight="false" outlineLevel="0" collapsed="false">
      <c r="A27" s="2" t="s">
        <v>62</v>
      </c>
      <c r="B27" s="2" t="s">
        <v>21</v>
      </c>
      <c r="C27" s="2" t="s">
        <v>34</v>
      </c>
      <c r="D27" s="2" t="s">
        <v>17</v>
      </c>
      <c r="E27" s="2" t="s">
        <v>23</v>
      </c>
      <c r="F27" s="2" t="s">
        <v>19</v>
      </c>
      <c r="G27" s="2" t="n">
        <v>2015</v>
      </c>
      <c r="H27" s="3" t="n">
        <v>41944.1</v>
      </c>
      <c r="I27" s="3" t="n">
        <v>28269.7</v>
      </c>
      <c r="J27" s="3" t="n">
        <v>13687.6</v>
      </c>
      <c r="K27" s="3" t="n">
        <v>23133.7</v>
      </c>
      <c r="L27" s="4" t="n">
        <v>55.15364497</v>
      </c>
      <c r="M27" s="3" t="n">
        <v>18810.4</v>
      </c>
      <c r="N27" s="4" t="n">
        <v>44.84635503</v>
      </c>
    </row>
    <row r="28" customFormat="false" ht="15" hidden="false" customHeight="false" outlineLevel="0" collapsed="false">
      <c r="A28" s="2" t="s">
        <v>63</v>
      </c>
      <c r="B28" s="2" t="s">
        <v>15</v>
      </c>
      <c r="C28" s="2" t="s">
        <v>22</v>
      </c>
      <c r="D28" s="2" t="s">
        <v>25</v>
      </c>
      <c r="E28" s="2" t="s">
        <v>26</v>
      </c>
      <c r="F28" s="2" t="s">
        <v>19</v>
      </c>
      <c r="G28" s="2" t="n">
        <v>1991</v>
      </c>
      <c r="H28" s="3" t="n">
        <v>41405.4</v>
      </c>
      <c r="I28" s="3" t="n">
        <v>19772.1</v>
      </c>
      <c r="J28" s="3" t="n">
        <v>21650</v>
      </c>
      <c r="K28" s="3" t="n">
        <v>10692.8</v>
      </c>
      <c r="L28" s="4" t="n">
        <v>25.82465089</v>
      </c>
      <c r="M28" s="3" t="n">
        <v>30712.6</v>
      </c>
      <c r="N28" s="4" t="n">
        <v>74.17534911</v>
      </c>
    </row>
    <row r="29" customFormat="false" ht="15" hidden="false" customHeight="false" outlineLevel="0" collapsed="false">
      <c r="A29" s="2" t="s">
        <v>64</v>
      </c>
      <c r="B29" s="2" t="s">
        <v>15</v>
      </c>
      <c r="C29" s="2" t="s">
        <v>22</v>
      </c>
      <c r="D29" s="2" t="s">
        <v>25</v>
      </c>
      <c r="E29" s="2" t="s">
        <v>26</v>
      </c>
      <c r="F29" s="2" t="s">
        <v>19</v>
      </c>
      <c r="G29" s="2" t="n">
        <v>2014</v>
      </c>
      <c r="H29" s="3" t="n">
        <v>40738.6</v>
      </c>
      <c r="I29" s="3" t="n">
        <v>24898</v>
      </c>
      <c r="J29" s="3" t="n">
        <v>15857.7</v>
      </c>
      <c r="K29" s="3" t="n">
        <v>10432.5</v>
      </c>
      <c r="L29" s="4" t="n">
        <v>25.60839106</v>
      </c>
      <c r="M29" s="3" t="n">
        <v>30306.1</v>
      </c>
      <c r="N29" s="4" t="n">
        <v>74.39160894</v>
      </c>
    </row>
    <row r="30" customFormat="false" ht="15" hidden="false" customHeight="false" outlineLevel="0" collapsed="false">
      <c r="A30" s="2" t="s">
        <v>65</v>
      </c>
      <c r="B30" s="2" t="s">
        <v>15</v>
      </c>
      <c r="C30" s="2" t="s">
        <v>22</v>
      </c>
      <c r="D30" s="2" t="s">
        <v>25</v>
      </c>
      <c r="E30" s="2" t="s">
        <v>26</v>
      </c>
      <c r="F30" s="2" t="s">
        <v>19</v>
      </c>
      <c r="G30" s="2" t="n">
        <v>2011</v>
      </c>
      <c r="H30" s="3" t="n">
        <v>40453.3</v>
      </c>
      <c r="I30" s="3" t="n">
        <v>18355.6</v>
      </c>
      <c r="J30" s="3" t="n">
        <v>22118.9</v>
      </c>
      <c r="K30" s="3" t="n">
        <v>6177</v>
      </c>
      <c r="L30" s="4" t="n">
        <v>15.26945886</v>
      </c>
      <c r="M30" s="3" t="n">
        <v>34276.3</v>
      </c>
      <c r="N30" s="4" t="n">
        <v>84.73054114</v>
      </c>
    </row>
    <row r="31" customFormat="false" ht="15" hidden="false" customHeight="false" outlineLevel="0" collapsed="false">
      <c r="A31" s="2" t="s">
        <v>66</v>
      </c>
      <c r="B31" s="2" t="s">
        <v>15</v>
      </c>
      <c r="C31" s="2" t="s">
        <v>22</v>
      </c>
      <c r="D31" s="2" t="s">
        <v>17</v>
      </c>
      <c r="E31" s="2" t="s">
        <v>18</v>
      </c>
      <c r="F31" s="2" t="s">
        <v>19</v>
      </c>
      <c r="G31" s="2" t="n">
        <v>2013</v>
      </c>
      <c r="H31" s="3" t="n">
        <v>40411.3</v>
      </c>
      <c r="I31" s="3" t="n">
        <v>34419.9</v>
      </c>
      <c r="J31" s="3" t="n">
        <v>5998.9</v>
      </c>
      <c r="K31" s="3" t="n">
        <v>28138.4</v>
      </c>
      <c r="L31" s="4" t="n">
        <v>69.63002922</v>
      </c>
      <c r="M31" s="3" t="n">
        <v>12272.9</v>
      </c>
      <c r="N31" s="4" t="n">
        <v>30.36997078</v>
      </c>
    </row>
    <row r="32" customFormat="false" ht="15" hidden="false" customHeight="false" outlineLevel="0" collapsed="false">
      <c r="A32" s="2" t="s">
        <v>67</v>
      </c>
      <c r="B32" s="2" t="s">
        <v>15</v>
      </c>
      <c r="C32" s="2" t="s">
        <v>22</v>
      </c>
      <c r="D32" s="2" t="s">
        <v>17</v>
      </c>
      <c r="E32" s="2" t="s">
        <v>52</v>
      </c>
      <c r="F32" s="2" t="s">
        <v>49</v>
      </c>
      <c r="G32" s="2" t="n">
        <v>2012</v>
      </c>
      <c r="H32" s="3" t="n">
        <v>40279.5</v>
      </c>
      <c r="I32" s="3" t="n">
        <v>38006.7</v>
      </c>
      <c r="J32" s="3" t="n">
        <v>2283.2</v>
      </c>
      <c r="K32" s="3" t="n">
        <v>33880.4</v>
      </c>
      <c r="L32" s="4" t="n">
        <v>84.11325861</v>
      </c>
      <c r="M32" s="3" t="n">
        <v>6399.1</v>
      </c>
      <c r="N32" s="4" t="n">
        <v>15.88674139</v>
      </c>
    </row>
    <row r="33" customFormat="false" ht="15" hidden="false" customHeight="false" outlineLevel="0" collapsed="false">
      <c r="A33" s="2" t="s">
        <v>68</v>
      </c>
      <c r="B33" s="2" t="s">
        <v>15</v>
      </c>
      <c r="C33" s="2" t="s">
        <v>22</v>
      </c>
      <c r="D33" s="2" t="s">
        <v>17</v>
      </c>
      <c r="E33" s="2" t="s">
        <v>18</v>
      </c>
      <c r="F33" s="2" t="s">
        <v>19</v>
      </c>
      <c r="G33" s="2" t="n">
        <v>1997</v>
      </c>
      <c r="H33" s="3" t="n">
        <v>40148.2</v>
      </c>
      <c r="I33" s="3" t="n">
        <v>15870.4</v>
      </c>
      <c r="J33" s="3" t="n">
        <v>24279.9</v>
      </c>
      <c r="K33" s="3" t="n">
        <v>4050.9</v>
      </c>
      <c r="L33" s="4" t="n">
        <v>10.08986704</v>
      </c>
      <c r="M33" s="3" t="n">
        <v>36097.3</v>
      </c>
      <c r="N33" s="4" t="n">
        <v>89.91013296</v>
      </c>
    </row>
    <row r="34" customFormat="false" ht="15" hidden="false" customHeight="false" outlineLevel="0" collapsed="false">
      <c r="A34" s="2" t="s">
        <v>69</v>
      </c>
      <c r="B34" s="2" t="s">
        <v>15</v>
      </c>
      <c r="C34" s="2" t="s">
        <v>34</v>
      </c>
      <c r="D34" s="2" t="s">
        <v>17</v>
      </c>
      <c r="E34" s="2" t="s">
        <v>18</v>
      </c>
      <c r="F34" s="2" t="s">
        <v>19</v>
      </c>
      <c r="G34" s="2" t="n">
        <v>2014</v>
      </c>
      <c r="H34" s="3" t="n">
        <v>39024.3</v>
      </c>
      <c r="I34" s="3" t="n">
        <v>15878</v>
      </c>
      <c r="J34" s="3" t="n">
        <v>23155.6</v>
      </c>
      <c r="K34" s="3" t="n">
        <v>7883.1</v>
      </c>
      <c r="L34" s="4" t="n">
        <v>20.20049046</v>
      </c>
      <c r="M34" s="3" t="n">
        <v>31141.2</v>
      </c>
      <c r="N34" s="4" t="n">
        <v>79.79950954</v>
      </c>
    </row>
    <row r="35" customFormat="false" ht="15" hidden="false" customHeight="false" outlineLevel="0" collapsed="false">
      <c r="A35" s="2" t="s">
        <v>70</v>
      </c>
      <c r="B35" s="2" t="s">
        <v>21</v>
      </c>
      <c r="C35" s="2" t="s">
        <v>22</v>
      </c>
      <c r="D35" s="2" t="s">
        <v>17</v>
      </c>
      <c r="E35" s="2" t="s">
        <v>28</v>
      </c>
      <c r="F35" s="2" t="s">
        <v>19</v>
      </c>
      <c r="G35" s="2" t="n">
        <v>2012</v>
      </c>
      <c r="H35" s="3" t="n">
        <v>38879.6</v>
      </c>
      <c r="I35" s="3" t="n">
        <v>25267.5</v>
      </c>
      <c r="J35" s="3" t="n">
        <v>13627.2</v>
      </c>
      <c r="K35" s="3" t="n">
        <v>19804.6</v>
      </c>
      <c r="L35" s="4" t="n">
        <v>50.93828126</v>
      </c>
      <c r="M35" s="3" t="n">
        <v>19075</v>
      </c>
      <c r="N35" s="4" t="n">
        <v>49.06171874</v>
      </c>
    </row>
    <row r="36" customFormat="false" ht="15" hidden="false" customHeight="false" outlineLevel="0" collapsed="false">
      <c r="A36" s="2" t="s">
        <v>71</v>
      </c>
      <c r="B36" s="2" t="s">
        <v>15</v>
      </c>
      <c r="C36" s="2" t="s">
        <v>72</v>
      </c>
      <c r="D36" s="2" t="s">
        <v>73</v>
      </c>
      <c r="E36" s="2" t="s">
        <v>74</v>
      </c>
      <c r="F36" s="2" t="s">
        <v>19</v>
      </c>
      <c r="G36" s="2" t="n">
        <v>2011</v>
      </c>
      <c r="H36" s="3" t="n">
        <v>37687.8</v>
      </c>
      <c r="I36" s="3" t="n">
        <v>13330.4</v>
      </c>
      <c r="J36" s="3" t="n">
        <v>24384.8</v>
      </c>
      <c r="K36" s="3" t="n">
        <v>4537.4</v>
      </c>
      <c r="L36" s="4" t="n">
        <v>12.03943982</v>
      </c>
      <c r="M36" s="3" t="n">
        <v>33150.4</v>
      </c>
      <c r="N36" s="4" t="n">
        <v>87.96056018</v>
      </c>
    </row>
    <row r="37" customFormat="false" ht="15" hidden="false" customHeight="false" outlineLevel="0" collapsed="false">
      <c r="A37" s="2" t="s">
        <v>75</v>
      </c>
      <c r="B37" s="2" t="s">
        <v>21</v>
      </c>
      <c r="C37" s="2" t="s">
        <v>22</v>
      </c>
      <c r="D37" s="2" t="s">
        <v>17</v>
      </c>
      <c r="E37" s="2" t="s">
        <v>23</v>
      </c>
      <c r="F37" s="2" t="s">
        <v>19</v>
      </c>
      <c r="G37" s="2" t="n">
        <v>2008</v>
      </c>
      <c r="H37" s="3" t="n">
        <v>37565.4</v>
      </c>
      <c r="I37" s="3" t="n">
        <v>37009.7</v>
      </c>
      <c r="J37" s="3" t="n">
        <v>572</v>
      </c>
      <c r="K37" s="3" t="n">
        <v>23546.2</v>
      </c>
      <c r="L37" s="4" t="n">
        <v>62.68055178</v>
      </c>
      <c r="M37" s="3" t="n">
        <v>14019.2</v>
      </c>
      <c r="N37" s="4" t="n">
        <v>37.31944822</v>
      </c>
    </row>
    <row r="38" customFormat="false" ht="15" hidden="false" customHeight="false" outlineLevel="0" collapsed="false">
      <c r="A38" s="2" t="s">
        <v>76</v>
      </c>
      <c r="B38" s="2" t="s">
        <v>21</v>
      </c>
      <c r="C38" s="2" t="s">
        <v>43</v>
      </c>
      <c r="D38" s="2" t="s">
        <v>25</v>
      </c>
      <c r="E38" s="2" t="s">
        <v>26</v>
      </c>
      <c r="F38" s="2" t="s">
        <v>19</v>
      </c>
      <c r="G38" s="2" t="n">
        <v>2007</v>
      </c>
      <c r="H38" s="3" t="n">
        <v>37549.7</v>
      </c>
      <c r="I38" s="3" t="n">
        <v>29603.8</v>
      </c>
      <c r="J38" s="3" t="n">
        <v>7961.5</v>
      </c>
      <c r="K38" s="3" t="n">
        <v>14790.4</v>
      </c>
      <c r="L38" s="4" t="n">
        <v>39.38886329</v>
      </c>
      <c r="M38" s="3" t="n">
        <v>22759.3</v>
      </c>
      <c r="N38" s="4" t="n">
        <v>60.61113671</v>
      </c>
    </row>
    <row r="39" customFormat="false" ht="15" hidden="false" customHeight="false" outlineLevel="0" collapsed="false">
      <c r="A39" s="2" t="s">
        <v>77</v>
      </c>
      <c r="B39" s="2" t="s">
        <v>15</v>
      </c>
      <c r="C39" s="2" t="s">
        <v>22</v>
      </c>
      <c r="D39" s="2" t="s">
        <v>17</v>
      </c>
      <c r="E39" s="2" t="s">
        <v>18</v>
      </c>
      <c r="F39" s="2" t="s">
        <v>19</v>
      </c>
      <c r="G39" s="2" t="n">
        <v>2017</v>
      </c>
      <c r="H39" s="3" t="n">
        <v>35931.9</v>
      </c>
      <c r="I39" s="3" t="n">
        <v>18773.5</v>
      </c>
      <c r="J39" s="3" t="n">
        <v>17171.5</v>
      </c>
      <c r="K39" s="3" t="n">
        <v>8928.8</v>
      </c>
      <c r="L39" s="4" t="n">
        <v>24.84922868</v>
      </c>
      <c r="M39" s="3" t="n">
        <v>27003.1</v>
      </c>
      <c r="N39" s="4" t="n">
        <v>75.15077132</v>
      </c>
    </row>
    <row r="40" customFormat="false" ht="15" hidden="false" customHeight="false" outlineLevel="0" collapsed="false">
      <c r="A40" s="2" t="s">
        <v>78</v>
      </c>
      <c r="B40" s="2" t="s">
        <v>79</v>
      </c>
      <c r="C40" s="2" t="s">
        <v>22</v>
      </c>
      <c r="D40" s="2" t="s">
        <v>17</v>
      </c>
      <c r="E40" s="2" t="s">
        <v>23</v>
      </c>
      <c r="F40" s="2" t="s">
        <v>49</v>
      </c>
      <c r="G40" s="2" t="n">
        <v>2002</v>
      </c>
      <c r="H40" s="3" t="n">
        <v>35794.1</v>
      </c>
      <c r="I40" s="3" t="n">
        <v>35585.8</v>
      </c>
      <c r="J40" s="3" t="n">
        <v>222.6</v>
      </c>
      <c r="K40" s="3" t="n">
        <v>23312.5</v>
      </c>
      <c r="L40" s="4" t="n">
        <v>65.12944871</v>
      </c>
      <c r="M40" s="3" t="n">
        <v>12481.6</v>
      </c>
      <c r="N40" s="4" t="n">
        <v>34.87055129</v>
      </c>
    </row>
    <row r="41" customFormat="false" ht="15" hidden="false" customHeight="false" outlineLevel="0" collapsed="false">
      <c r="A41" s="2" t="s">
        <v>80</v>
      </c>
      <c r="B41" s="2" t="s">
        <v>15</v>
      </c>
      <c r="C41" s="2" t="s">
        <v>22</v>
      </c>
      <c r="D41" s="2" t="s">
        <v>17</v>
      </c>
      <c r="E41" s="2" t="s">
        <v>28</v>
      </c>
      <c r="F41" s="2" t="s">
        <v>19</v>
      </c>
      <c r="G41" s="2" t="n">
        <v>2016</v>
      </c>
      <c r="H41" s="3" t="n">
        <v>35727.2</v>
      </c>
      <c r="I41" s="3" t="n">
        <v>18499.9</v>
      </c>
      <c r="J41" s="3" t="n">
        <v>17234.4</v>
      </c>
      <c r="K41" s="3" t="n">
        <v>12520.6</v>
      </c>
      <c r="L41" s="4" t="n">
        <v>35.04500773</v>
      </c>
      <c r="M41" s="3" t="n">
        <v>23206.6</v>
      </c>
      <c r="N41" s="4" t="n">
        <v>64.95499227</v>
      </c>
    </row>
    <row r="42" customFormat="false" ht="15" hidden="false" customHeight="false" outlineLevel="0" collapsed="false">
      <c r="A42" s="2" t="s">
        <v>81</v>
      </c>
      <c r="B42" s="2" t="s">
        <v>21</v>
      </c>
      <c r="C42" s="2" t="s">
        <v>22</v>
      </c>
      <c r="D42" s="2" t="s">
        <v>17</v>
      </c>
      <c r="E42" s="2" t="s">
        <v>23</v>
      </c>
      <c r="F42" s="2" t="s">
        <v>19</v>
      </c>
      <c r="G42" s="2" t="n">
        <v>2003</v>
      </c>
      <c r="H42" s="3" t="n">
        <v>34975.2</v>
      </c>
      <c r="I42" s="3" t="n">
        <v>29662.8</v>
      </c>
      <c r="J42" s="3" t="n">
        <v>5325.3</v>
      </c>
      <c r="K42" s="3" t="n">
        <v>21863.9</v>
      </c>
      <c r="L42" s="4" t="n">
        <v>62.51258034</v>
      </c>
      <c r="M42" s="3" t="n">
        <v>13111.3</v>
      </c>
      <c r="N42" s="4" t="n">
        <v>37.48741966</v>
      </c>
    </row>
    <row r="43" customFormat="false" ht="15" hidden="false" customHeight="false" outlineLevel="0" collapsed="false">
      <c r="A43" s="2" t="s">
        <v>82</v>
      </c>
      <c r="B43" s="2" t="s">
        <v>15</v>
      </c>
      <c r="C43" s="2" t="s">
        <v>43</v>
      </c>
      <c r="D43" s="2" t="s">
        <v>25</v>
      </c>
      <c r="E43" s="2" t="s">
        <v>83</v>
      </c>
      <c r="F43" s="2" t="s">
        <v>19</v>
      </c>
      <c r="G43" s="2" t="n">
        <v>2010</v>
      </c>
      <c r="H43" s="3" t="n">
        <v>34841</v>
      </c>
      <c r="I43" s="3" t="n">
        <v>19449.8</v>
      </c>
      <c r="J43" s="3" t="n">
        <v>15404.7</v>
      </c>
      <c r="K43" s="3" t="n">
        <v>11616.3</v>
      </c>
      <c r="L43" s="4" t="n">
        <v>33.34089148</v>
      </c>
      <c r="M43" s="3" t="n">
        <v>23224.7</v>
      </c>
      <c r="N43" s="4" t="n">
        <v>66.65910852</v>
      </c>
    </row>
    <row r="44" customFormat="false" ht="15" hidden="false" customHeight="false" outlineLevel="0" collapsed="false">
      <c r="A44" s="2" t="s">
        <v>84</v>
      </c>
      <c r="B44" s="2" t="s">
        <v>15</v>
      </c>
      <c r="C44" s="2" t="s">
        <v>43</v>
      </c>
      <c r="D44" s="2" t="s">
        <v>25</v>
      </c>
      <c r="E44" s="2" t="s">
        <v>26</v>
      </c>
      <c r="F44" s="2" t="s">
        <v>19</v>
      </c>
      <c r="G44" s="2" t="n">
        <v>2015</v>
      </c>
      <c r="H44" s="3" t="n">
        <v>34579.1</v>
      </c>
      <c r="I44" s="3" t="n">
        <v>18725.6</v>
      </c>
      <c r="J44" s="3" t="n">
        <v>15774.1</v>
      </c>
      <c r="K44" s="3" t="n">
        <v>9877.3</v>
      </c>
      <c r="L44" s="4" t="n">
        <v>28.56436402</v>
      </c>
      <c r="M44" s="3" t="n">
        <v>24701.8</v>
      </c>
      <c r="N44" s="4" t="n">
        <v>71.43563598</v>
      </c>
    </row>
    <row r="45" customFormat="false" ht="15" hidden="false" customHeight="false" outlineLevel="0" collapsed="false">
      <c r="A45" s="2" t="s">
        <v>85</v>
      </c>
      <c r="B45" s="2" t="s">
        <v>15</v>
      </c>
      <c r="C45" s="2" t="s">
        <v>86</v>
      </c>
      <c r="D45" s="2" t="s">
        <v>17</v>
      </c>
      <c r="E45" s="2" t="s">
        <v>61</v>
      </c>
      <c r="F45" s="2" t="s">
        <v>19</v>
      </c>
      <c r="G45" s="2" t="n">
        <v>2007</v>
      </c>
      <c r="H45" s="3" t="n">
        <v>34129.7</v>
      </c>
      <c r="I45" s="3" t="n">
        <v>31846</v>
      </c>
      <c r="J45" s="3" t="n">
        <v>2298.3</v>
      </c>
      <c r="K45" s="3" t="n">
        <v>5998.8</v>
      </c>
      <c r="L45" s="4" t="n">
        <v>17.57648031</v>
      </c>
      <c r="M45" s="3" t="n">
        <v>28130.9</v>
      </c>
      <c r="N45" s="4" t="n">
        <v>82.42351969</v>
      </c>
    </row>
    <row r="46" customFormat="false" ht="15" hidden="false" customHeight="false" outlineLevel="0" collapsed="false">
      <c r="A46" s="2" t="s">
        <v>87</v>
      </c>
      <c r="B46" s="2" t="s">
        <v>15</v>
      </c>
      <c r="C46" s="2" t="s">
        <v>22</v>
      </c>
      <c r="D46" s="2" t="s">
        <v>25</v>
      </c>
      <c r="E46" s="2" t="s">
        <v>26</v>
      </c>
      <c r="F46" s="2" t="s">
        <v>19</v>
      </c>
      <c r="G46" s="2" t="n">
        <v>2016</v>
      </c>
      <c r="H46" s="3" t="n">
        <v>33620.7</v>
      </c>
      <c r="I46" s="3" t="n">
        <v>14022.5</v>
      </c>
      <c r="J46" s="3" t="n">
        <v>19614.7</v>
      </c>
      <c r="K46" s="3" t="n">
        <v>9406.6</v>
      </c>
      <c r="L46" s="4" t="n">
        <v>27.97859652</v>
      </c>
      <c r="M46" s="3" t="n">
        <v>24214.1</v>
      </c>
      <c r="N46" s="4" t="n">
        <v>72.02140348</v>
      </c>
    </row>
    <row r="47" customFormat="false" ht="15" hidden="false" customHeight="false" outlineLevel="0" collapsed="false">
      <c r="A47" s="2" t="s">
        <v>88</v>
      </c>
      <c r="B47" s="2" t="s">
        <v>79</v>
      </c>
      <c r="C47" s="2" t="s">
        <v>22</v>
      </c>
      <c r="D47" s="2" t="s">
        <v>17</v>
      </c>
      <c r="E47" s="2" t="s">
        <v>52</v>
      </c>
      <c r="F47" s="2" t="s">
        <v>49</v>
      </c>
      <c r="G47" s="2" t="n">
        <v>2000</v>
      </c>
      <c r="H47" s="3" t="n">
        <v>33224.7</v>
      </c>
      <c r="I47" s="3" t="n">
        <v>31426.6</v>
      </c>
      <c r="J47" s="3" t="n">
        <v>1798.1</v>
      </c>
      <c r="K47" s="3" t="n">
        <v>30151.2</v>
      </c>
      <c r="L47" s="4" t="n">
        <v>90.74935214</v>
      </c>
      <c r="M47" s="3" t="n">
        <v>3073.5</v>
      </c>
      <c r="N47" s="4" t="n">
        <v>9.250647861</v>
      </c>
    </row>
    <row r="48" customFormat="false" ht="15" hidden="false" customHeight="false" outlineLevel="0" collapsed="false">
      <c r="A48" s="2" t="s">
        <v>89</v>
      </c>
      <c r="B48" s="2" t="s">
        <v>15</v>
      </c>
      <c r="C48" s="2" t="s">
        <v>90</v>
      </c>
      <c r="D48" s="2" t="s">
        <v>25</v>
      </c>
      <c r="E48" s="2" t="s">
        <v>91</v>
      </c>
      <c r="F48" s="2" t="s">
        <v>19</v>
      </c>
      <c r="G48" s="2" t="n">
        <v>2020</v>
      </c>
      <c r="H48" s="3" t="n">
        <v>33179.8</v>
      </c>
      <c r="I48" s="3" t="n">
        <v>18699.1</v>
      </c>
      <c r="J48" s="3" t="n">
        <v>14501.2</v>
      </c>
      <c r="K48" s="3" t="n">
        <v>3938.3</v>
      </c>
      <c r="L48" s="4" t="n">
        <v>11.86957125</v>
      </c>
      <c r="M48" s="3" t="n">
        <v>29241.5</v>
      </c>
      <c r="N48" s="4" t="n">
        <v>88.13042875</v>
      </c>
    </row>
    <row r="49" customFormat="false" ht="15" hidden="false" customHeight="false" outlineLevel="0" collapsed="false">
      <c r="A49" s="2" t="s">
        <v>92</v>
      </c>
      <c r="B49" s="2" t="s">
        <v>15</v>
      </c>
      <c r="C49" s="2" t="s">
        <v>22</v>
      </c>
      <c r="D49" s="2" t="s">
        <v>17</v>
      </c>
      <c r="E49" s="2" t="s">
        <v>18</v>
      </c>
      <c r="F49" s="2" t="s">
        <v>19</v>
      </c>
      <c r="G49" s="2" t="n">
        <v>2007</v>
      </c>
      <c r="H49" s="3" t="n">
        <v>32200.9</v>
      </c>
      <c r="I49" s="3" t="n">
        <v>24334.7</v>
      </c>
      <c r="J49" s="3" t="n">
        <v>7876.1</v>
      </c>
      <c r="K49" s="3" t="n">
        <v>18999.5</v>
      </c>
      <c r="L49" s="4" t="n">
        <v>59.00300923</v>
      </c>
      <c r="M49" s="3" t="n">
        <v>13201.4</v>
      </c>
      <c r="N49" s="4" t="n">
        <v>40.99699077</v>
      </c>
    </row>
    <row r="50" customFormat="false" ht="15" hidden="false" customHeight="false" outlineLevel="0" collapsed="false">
      <c r="A50" s="2" t="s">
        <v>93</v>
      </c>
      <c r="B50" s="2" t="s">
        <v>15</v>
      </c>
      <c r="C50" s="2" t="s">
        <v>22</v>
      </c>
      <c r="D50" s="2" t="s">
        <v>17</v>
      </c>
      <c r="E50" s="2" t="s">
        <v>18</v>
      </c>
      <c r="F50" s="2" t="s">
        <v>19</v>
      </c>
      <c r="G50" s="2" t="n">
        <v>2014</v>
      </c>
      <c r="H50" s="3" t="n">
        <v>32115.9</v>
      </c>
      <c r="I50" s="3" t="n">
        <v>21117.5</v>
      </c>
      <c r="J50" s="3" t="n">
        <v>11006.6</v>
      </c>
      <c r="K50" s="3" t="n">
        <v>16803.2</v>
      </c>
      <c r="L50" s="4" t="n">
        <v>52.32050168</v>
      </c>
      <c r="M50" s="3" t="n">
        <v>15312.7</v>
      </c>
      <c r="N50" s="4" t="n">
        <v>47.67949832</v>
      </c>
    </row>
    <row r="51" customFormat="false" ht="15" hidden="false" customHeight="false" outlineLevel="0" collapsed="false">
      <c r="A51" s="2" t="s">
        <v>94</v>
      </c>
      <c r="B51" s="2" t="s">
        <v>21</v>
      </c>
      <c r="C51" s="2" t="s">
        <v>95</v>
      </c>
      <c r="D51" s="2" t="s">
        <v>17</v>
      </c>
      <c r="E51" s="2" t="s">
        <v>23</v>
      </c>
      <c r="F51" s="2" t="s">
        <v>19</v>
      </c>
      <c r="G51" s="2" t="n">
        <v>1997</v>
      </c>
      <c r="H51" s="3" t="n">
        <v>31642.1</v>
      </c>
      <c r="I51" s="3" t="n">
        <v>21063.2</v>
      </c>
      <c r="J51" s="3" t="n">
        <v>10588.2</v>
      </c>
      <c r="K51" s="3" t="n">
        <v>15741.1</v>
      </c>
      <c r="L51" s="4" t="n">
        <v>49.7473303</v>
      </c>
      <c r="M51" s="3" t="n">
        <v>15901</v>
      </c>
      <c r="N51" s="4" t="n">
        <v>50.2526697</v>
      </c>
    </row>
    <row r="52" customFormat="false" ht="15" hidden="false" customHeight="false" outlineLevel="0" collapsed="false">
      <c r="A52" s="2" t="s">
        <v>96</v>
      </c>
      <c r="B52" s="2" t="s">
        <v>21</v>
      </c>
      <c r="C52" s="2" t="s">
        <v>22</v>
      </c>
      <c r="D52" s="2" t="s">
        <v>17</v>
      </c>
      <c r="E52" s="2" t="s">
        <v>23</v>
      </c>
      <c r="F52" s="2" t="s">
        <v>19</v>
      </c>
      <c r="G52" s="2" t="n">
        <v>2012</v>
      </c>
      <c r="H52" s="3" t="n">
        <v>31214.3</v>
      </c>
      <c r="I52" s="3" t="n">
        <v>25574.2</v>
      </c>
      <c r="J52" s="3" t="n">
        <v>5650.9</v>
      </c>
      <c r="K52" s="3" t="n">
        <v>18797.1</v>
      </c>
      <c r="L52" s="4" t="n">
        <v>60.21951477</v>
      </c>
      <c r="M52" s="3" t="n">
        <v>12417.2</v>
      </c>
      <c r="N52" s="4" t="n">
        <v>39.78048523</v>
      </c>
    </row>
    <row r="53" customFormat="false" ht="15" hidden="false" customHeight="false" outlineLevel="0" collapsed="false">
      <c r="A53" s="2" t="s">
        <v>97</v>
      </c>
      <c r="B53" s="2" t="s">
        <v>21</v>
      </c>
      <c r="C53" s="2" t="s">
        <v>43</v>
      </c>
      <c r="D53" s="2" t="s">
        <v>25</v>
      </c>
      <c r="E53" s="2" t="s">
        <v>83</v>
      </c>
      <c r="F53" s="2" t="s">
        <v>19</v>
      </c>
      <c r="G53" s="2" t="n">
        <v>1991</v>
      </c>
      <c r="H53" s="3" t="n">
        <v>31212.4</v>
      </c>
      <c r="I53" s="3" t="n">
        <v>24041</v>
      </c>
      <c r="J53" s="3" t="n">
        <v>7171.5</v>
      </c>
      <c r="K53" s="3" t="n">
        <v>11661.1</v>
      </c>
      <c r="L53" s="4" t="n">
        <v>37.36047212</v>
      </c>
      <c r="M53" s="3" t="n">
        <v>19551.3</v>
      </c>
      <c r="N53" s="4" t="n">
        <v>62.63952788</v>
      </c>
    </row>
    <row r="54" customFormat="false" ht="15" hidden="false" customHeight="false" outlineLevel="0" collapsed="false">
      <c r="A54" s="2" t="s">
        <v>98</v>
      </c>
      <c r="B54" s="2" t="s">
        <v>15</v>
      </c>
      <c r="C54" s="2" t="s">
        <v>22</v>
      </c>
      <c r="D54" s="2" t="s">
        <v>17</v>
      </c>
      <c r="E54" s="2" t="s">
        <v>99</v>
      </c>
      <c r="F54" s="2" t="s">
        <v>19</v>
      </c>
      <c r="G54" s="2" t="n">
        <v>2014</v>
      </c>
      <c r="H54" s="3" t="n">
        <v>31171.1</v>
      </c>
      <c r="I54" s="3" t="n">
        <v>26589.9</v>
      </c>
      <c r="J54" s="3" t="n">
        <v>4600.4</v>
      </c>
      <c r="K54" s="3" t="n">
        <v>23825.8</v>
      </c>
      <c r="L54" s="4" t="n">
        <v>76.43554446</v>
      </c>
      <c r="M54" s="3" t="n">
        <v>7345.3</v>
      </c>
      <c r="N54" s="4" t="n">
        <v>23.56445554</v>
      </c>
    </row>
    <row r="55" customFormat="false" ht="15" hidden="false" customHeight="false" outlineLevel="0" collapsed="false">
      <c r="A55" s="2" t="s">
        <v>100</v>
      </c>
      <c r="B55" s="2" t="s">
        <v>15</v>
      </c>
      <c r="C55" s="2" t="s">
        <v>22</v>
      </c>
      <c r="D55" s="2" t="s">
        <v>17</v>
      </c>
      <c r="E55" s="2" t="s">
        <v>18</v>
      </c>
      <c r="F55" s="2" t="s">
        <v>19</v>
      </c>
      <c r="G55" s="2" t="n">
        <v>2011</v>
      </c>
      <c r="H55" s="3" t="n">
        <v>30933.8</v>
      </c>
      <c r="I55" s="3" t="n">
        <v>10464.2</v>
      </c>
      <c r="J55" s="3" t="n">
        <v>20472.3</v>
      </c>
      <c r="K55" s="3" t="n">
        <v>2792.1</v>
      </c>
      <c r="L55" s="4" t="n">
        <v>9.026049176</v>
      </c>
      <c r="M55" s="3" t="n">
        <v>28141.7</v>
      </c>
      <c r="N55" s="4" t="n">
        <v>90.97395082</v>
      </c>
    </row>
    <row r="56" customFormat="false" ht="15" hidden="false" customHeight="false" outlineLevel="0" collapsed="false">
      <c r="A56" s="2" t="s">
        <v>101</v>
      </c>
      <c r="B56" s="2" t="s">
        <v>15</v>
      </c>
      <c r="C56" s="2" t="s">
        <v>22</v>
      </c>
      <c r="D56" s="2" t="s">
        <v>25</v>
      </c>
      <c r="E56" s="2" t="s">
        <v>26</v>
      </c>
      <c r="F56" s="2" t="s">
        <v>19</v>
      </c>
      <c r="G56" s="2" t="n">
        <v>2009</v>
      </c>
      <c r="H56" s="3" t="n">
        <v>29775.3</v>
      </c>
      <c r="I56" s="3" t="n">
        <v>8548.7</v>
      </c>
      <c r="J56" s="3" t="n">
        <v>21237.2</v>
      </c>
      <c r="K56" s="3" t="n">
        <v>4615.9</v>
      </c>
      <c r="L56" s="4" t="n">
        <v>15.50244666</v>
      </c>
      <c r="M56" s="3" t="n">
        <v>25159.4</v>
      </c>
      <c r="N56" s="4" t="n">
        <v>84.49755334</v>
      </c>
    </row>
    <row r="57" customFormat="false" ht="15" hidden="false" customHeight="false" outlineLevel="0" collapsed="false">
      <c r="A57" s="2" t="s">
        <v>102</v>
      </c>
      <c r="B57" s="2" t="s">
        <v>15</v>
      </c>
      <c r="C57" s="2" t="s">
        <v>16</v>
      </c>
      <c r="D57" s="2" t="s">
        <v>17</v>
      </c>
      <c r="E57" s="2" t="s">
        <v>23</v>
      </c>
      <c r="F57" s="2" t="s">
        <v>19</v>
      </c>
      <c r="G57" s="2" t="n">
        <v>2014</v>
      </c>
      <c r="H57" s="3" t="n">
        <v>29471.1</v>
      </c>
      <c r="I57" s="3" t="n">
        <v>28781</v>
      </c>
      <c r="J57" s="3" t="n">
        <v>699</v>
      </c>
      <c r="K57" s="3" t="n">
        <v>22074.9</v>
      </c>
      <c r="L57" s="4" t="n">
        <v>74.90354958</v>
      </c>
      <c r="M57" s="3" t="n">
        <v>7396.2</v>
      </c>
      <c r="N57" s="4" t="n">
        <v>25.09645042</v>
      </c>
    </row>
    <row r="58" customFormat="false" ht="15" hidden="false" customHeight="false" outlineLevel="0" collapsed="false">
      <c r="A58" s="2" t="s">
        <v>103</v>
      </c>
      <c r="B58" s="2" t="s">
        <v>15</v>
      </c>
      <c r="C58" s="2" t="s">
        <v>34</v>
      </c>
      <c r="D58" s="2" t="s">
        <v>17</v>
      </c>
      <c r="E58" s="2" t="s">
        <v>23</v>
      </c>
      <c r="F58" s="2" t="s">
        <v>19</v>
      </c>
      <c r="G58" s="2" t="n">
        <v>2010</v>
      </c>
      <c r="H58" s="3" t="n">
        <v>29449</v>
      </c>
      <c r="I58" s="3" t="n">
        <v>29462.8</v>
      </c>
      <c r="J58" s="3" t="n">
        <v>0</v>
      </c>
      <c r="K58" s="3" t="n">
        <v>29449</v>
      </c>
      <c r="L58" s="4" t="n">
        <v>100</v>
      </c>
      <c r="M58" s="3" t="n">
        <v>0</v>
      </c>
      <c r="N58" s="4" t="n">
        <v>0</v>
      </c>
    </row>
    <row r="59" customFormat="false" ht="15" hidden="false" customHeight="false" outlineLevel="0" collapsed="false">
      <c r="A59" s="2" t="s">
        <v>104</v>
      </c>
      <c r="B59" s="2" t="s">
        <v>15</v>
      </c>
      <c r="C59" s="2" t="s">
        <v>34</v>
      </c>
      <c r="D59" s="2" t="s">
        <v>17</v>
      </c>
      <c r="E59" s="2" t="s">
        <v>52</v>
      </c>
      <c r="F59" s="2" t="s">
        <v>49</v>
      </c>
      <c r="G59" s="2" t="n">
        <v>1973</v>
      </c>
      <c r="H59" s="3" t="n">
        <v>29370</v>
      </c>
      <c r="I59" s="3" t="n">
        <v>29307.6</v>
      </c>
      <c r="J59" s="3" t="n">
        <v>70.8</v>
      </c>
      <c r="K59" s="3" t="n">
        <v>26931.7</v>
      </c>
      <c r="L59" s="4" t="n">
        <v>91.69799115</v>
      </c>
      <c r="M59" s="3" t="n">
        <v>2438.3</v>
      </c>
      <c r="N59" s="4" t="n">
        <v>8.302008853</v>
      </c>
    </row>
    <row r="60" customFormat="false" ht="15" hidden="false" customHeight="false" outlineLevel="0" collapsed="false">
      <c r="A60" s="2" t="s">
        <v>105</v>
      </c>
      <c r="B60" s="2" t="s">
        <v>15</v>
      </c>
      <c r="C60" s="2" t="s">
        <v>34</v>
      </c>
      <c r="D60" s="2" t="s">
        <v>17</v>
      </c>
      <c r="E60" s="2" t="s">
        <v>23</v>
      </c>
      <c r="F60" s="2" t="s">
        <v>19</v>
      </c>
      <c r="G60" s="2" t="n">
        <v>2012</v>
      </c>
      <c r="H60" s="3" t="n">
        <v>29197.2</v>
      </c>
      <c r="I60" s="3" t="n">
        <v>24125.8</v>
      </c>
      <c r="J60" s="3" t="n">
        <v>5078.3</v>
      </c>
      <c r="K60" s="3" t="n">
        <v>17995.2</v>
      </c>
      <c r="L60" s="4" t="n">
        <v>61.6333073</v>
      </c>
      <c r="M60" s="3" t="n">
        <v>11202</v>
      </c>
      <c r="N60" s="4" t="n">
        <v>38.3666927</v>
      </c>
    </row>
    <row r="61" customFormat="false" ht="15" hidden="false" customHeight="false" outlineLevel="0" collapsed="false">
      <c r="A61" s="2" t="s">
        <v>106</v>
      </c>
      <c r="B61" s="2" t="s">
        <v>79</v>
      </c>
      <c r="C61" s="2" t="s">
        <v>34</v>
      </c>
      <c r="D61" s="2" t="s">
        <v>17</v>
      </c>
      <c r="E61" s="2" t="s">
        <v>23</v>
      </c>
      <c r="F61" s="2" t="s">
        <v>49</v>
      </c>
      <c r="G61" s="2" t="n">
        <v>2011</v>
      </c>
      <c r="H61" s="3" t="n">
        <v>28889.5</v>
      </c>
      <c r="I61" s="3" t="n">
        <v>28898.2</v>
      </c>
      <c r="J61" s="3" t="n">
        <v>0</v>
      </c>
      <c r="K61" s="3" t="n">
        <v>28801.9</v>
      </c>
      <c r="L61" s="4" t="n">
        <v>99.69677565</v>
      </c>
      <c r="M61" s="3" t="n">
        <v>87.6</v>
      </c>
      <c r="N61" s="4" t="n">
        <v>0.3032243549</v>
      </c>
    </row>
    <row r="62" customFormat="false" ht="15" hidden="false" customHeight="false" outlineLevel="0" collapsed="false">
      <c r="A62" s="2" t="s">
        <v>107</v>
      </c>
      <c r="B62" s="2" t="s">
        <v>15</v>
      </c>
      <c r="C62" s="2" t="s">
        <v>22</v>
      </c>
      <c r="D62" s="2" t="s">
        <v>17</v>
      </c>
      <c r="E62" s="2" t="s">
        <v>18</v>
      </c>
      <c r="F62" s="2" t="s">
        <v>19</v>
      </c>
      <c r="G62" s="2" t="n">
        <v>2013</v>
      </c>
      <c r="H62" s="3" t="n">
        <v>28848.7</v>
      </c>
      <c r="I62" s="3" t="n">
        <v>13945.2</v>
      </c>
      <c r="J62" s="3" t="n">
        <v>14911.9</v>
      </c>
      <c r="K62" s="3" t="n">
        <v>119.7</v>
      </c>
      <c r="L62" s="4" t="n">
        <v>0.4149233761</v>
      </c>
      <c r="M62" s="3" t="n">
        <v>28729</v>
      </c>
      <c r="N62" s="4" t="n">
        <v>99.58507662</v>
      </c>
    </row>
    <row r="63" customFormat="false" ht="15" hidden="false" customHeight="false" outlineLevel="0" collapsed="false">
      <c r="A63" s="2" t="s">
        <v>108</v>
      </c>
      <c r="B63" s="2" t="s">
        <v>21</v>
      </c>
      <c r="C63" s="2" t="s">
        <v>22</v>
      </c>
      <c r="D63" s="2" t="s">
        <v>17</v>
      </c>
      <c r="E63" s="2" t="s">
        <v>23</v>
      </c>
      <c r="F63" s="2" t="s">
        <v>19</v>
      </c>
      <c r="G63" s="2" t="n">
        <v>2021</v>
      </c>
      <c r="H63" s="3" t="n">
        <v>28799.7</v>
      </c>
      <c r="I63" s="3" t="n">
        <v>28797.6</v>
      </c>
      <c r="J63" s="3" t="n">
        <v>2.2</v>
      </c>
      <c r="K63" s="3" t="n">
        <v>26750.5</v>
      </c>
      <c r="L63" s="4" t="n">
        <v>92.8846481</v>
      </c>
      <c r="M63" s="3" t="n">
        <v>2049.2</v>
      </c>
      <c r="N63" s="4" t="n">
        <v>7.115351896</v>
      </c>
    </row>
    <row r="64" customFormat="false" ht="15" hidden="false" customHeight="false" outlineLevel="0" collapsed="false">
      <c r="A64" s="2" t="s">
        <v>109</v>
      </c>
      <c r="B64" s="2" t="s">
        <v>21</v>
      </c>
      <c r="C64" s="2" t="s">
        <v>34</v>
      </c>
      <c r="D64" s="2" t="s">
        <v>17</v>
      </c>
      <c r="E64" s="2" t="s">
        <v>23</v>
      </c>
      <c r="F64" s="2" t="s">
        <v>19</v>
      </c>
      <c r="G64" s="2" t="n">
        <v>2008</v>
      </c>
      <c r="H64" s="3" t="n">
        <v>28690.5</v>
      </c>
      <c r="I64" s="3" t="n">
        <v>28699.5</v>
      </c>
      <c r="J64" s="3" t="n">
        <v>0</v>
      </c>
      <c r="K64" s="3" t="n">
        <v>28537.7</v>
      </c>
      <c r="L64" s="4" t="n">
        <v>99.46741953</v>
      </c>
      <c r="M64" s="3" t="n">
        <v>152.8</v>
      </c>
      <c r="N64" s="4" t="n">
        <v>0.5325804709</v>
      </c>
    </row>
    <row r="65" customFormat="false" ht="15" hidden="false" customHeight="false" outlineLevel="0" collapsed="false">
      <c r="A65" s="2" t="s">
        <v>110</v>
      </c>
      <c r="B65" s="2" t="s">
        <v>15</v>
      </c>
      <c r="C65" s="2" t="s">
        <v>72</v>
      </c>
      <c r="D65" s="2" t="s">
        <v>73</v>
      </c>
      <c r="E65" s="2" t="s">
        <v>23</v>
      </c>
      <c r="F65" s="2" t="s">
        <v>19</v>
      </c>
      <c r="G65" s="2" t="n">
        <v>2001</v>
      </c>
      <c r="H65" s="3" t="n">
        <v>28543.9</v>
      </c>
      <c r="I65" s="3" t="n">
        <v>25181.4</v>
      </c>
      <c r="J65" s="3" t="n">
        <v>3362.5</v>
      </c>
      <c r="K65" s="3" t="n">
        <v>11.7</v>
      </c>
      <c r="L65" s="4" t="n">
        <v>0.04098949338</v>
      </c>
      <c r="M65" s="3" t="n">
        <v>28532.2</v>
      </c>
      <c r="N65" s="4" t="n">
        <v>99.95901051</v>
      </c>
    </row>
    <row r="66" customFormat="false" ht="15" hidden="false" customHeight="false" outlineLevel="0" collapsed="false">
      <c r="A66" s="2" t="s">
        <v>111</v>
      </c>
      <c r="B66" s="2" t="s">
        <v>21</v>
      </c>
      <c r="C66" s="2" t="s">
        <v>22</v>
      </c>
      <c r="D66" s="2" t="s">
        <v>17</v>
      </c>
      <c r="E66" s="2" t="s">
        <v>23</v>
      </c>
      <c r="F66" s="2" t="s">
        <v>19</v>
      </c>
      <c r="G66" s="2" t="n">
        <v>2001</v>
      </c>
      <c r="H66" s="3" t="n">
        <v>28248</v>
      </c>
      <c r="I66" s="3" t="n">
        <v>25287.5</v>
      </c>
      <c r="J66" s="3" t="n">
        <v>2977.8</v>
      </c>
      <c r="K66" s="3" t="n">
        <v>19629.7</v>
      </c>
      <c r="L66" s="4" t="n">
        <v>69.4905834</v>
      </c>
      <c r="M66" s="3" t="n">
        <v>8618.3</v>
      </c>
      <c r="N66" s="4" t="n">
        <v>30.5094166</v>
      </c>
    </row>
    <row r="67" customFormat="false" ht="15" hidden="false" customHeight="false" outlineLevel="0" collapsed="false">
      <c r="A67" s="2" t="s">
        <v>112</v>
      </c>
      <c r="B67" s="2" t="s">
        <v>15</v>
      </c>
      <c r="C67" s="2" t="s">
        <v>22</v>
      </c>
      <c r="D67" s="2" t="s">
        <v>17</v>
      </c>
      <c r="E67" s="2" t="s">
        <v>18</v>
      </c>
      <c r="F67" s="2" t="s">
        <v>19</v>
      </c>
      <c r="G67" s="2" t="n">
        <v>2013</v>
      </c>
      <c r="H67" s="3" t="n">
        <v>28195.8</v>
      </c>
      <c r="I67" s="3" t="n">
        <v>12491.3</v>
      </c>
      <c r="J67" s="3" t="n">
        <v>15715.6</v>
      </c>
      <c r="K67" s="3" t="n">
        <v>7949.8</v>
      </c>
      <c r="L67" s="4" t="n">
        <v>28.19497939</v>
      </c>
      <c r="M67" s="3" t="n">
        <v>20246</v>
      </c>
      <c r="N67" s="4" t="n">
        <v>71.80502061</v>
      </c>
    </row>
    <row r="68" customFormat="false" ht="15" hidden="false" customHeight="false" outlineLevel="0" collapsed="false">
      <c r="A68" s="2" t="s">
        <v>113</v>
      </c>
      <c r="B68" s="2" t="s">
        <v>15</v>
      </c>
      <c r="C68" s="2" t="s">
        <v>34</v>
      </c>
      <c r="D68" s="2" t="s">
        <v>17</v>
      </c>
      <c r="E68" s="2" t="s">
        <v>52</v>
      </c>
      <c r="F68" s="2" t="s">
        <v>49</v>
      </c>
      <c r="G68" s="2" t="n">
        <v>2005</v>
      </c>
      <c r="H68" s="3" t="n">
        <v>28155.4</v>
      </c>
      <c r="I68" s="3" t="n">
        <v>28166.2</v>
      </c>
      <c r="J68" s="3" t="n">
        <v>0</v>
      </c>
      <c r="K68" s="3" t="n">
        <v>28130.4</v>
      </c>
      <c r="L68" s="4" t="n">
        <v>99.91120709</v>
      </c>
      <c r="M68" s="3" t="n">
        <v>25</v>
      </c>
      <c r="N68" s="4" t="n">
        <v>0.08879291362</v>
      </c>
    </row>
    <row r="69" customFormat="false" ht="15" hidden="false" customHeight="false" outlineLevel="0" collapsed="false">
      <c r="A69" s="2" t="s">
        <v>114</v>
      </c>
      <c r="B69" s="2" t="s">
        <v>15</v>
      </c>
      <c r="C69" s="2" t="s">
        <v>22</v>
      </c>
      <c r="D69" s="2" t="s">
        <v>25</v>
      </c>
      <c r="E69" s="2" t="s">
        <v>83</v>
      </c>
      <c r="F69" s="2" t="s">
        <v>49</v>
      </c>
      <c r="G69" s="2" t="n">
        <v>2018</v>
      </c>
      <c r="H69" s="3" t="n">
        <v>27466.8</v>
      </c>
      <c r="I69" s="3" t="n">
        <v>19814.7</v>
      </c>
      <c r="J69" s="3" t="n">
        <v>7652.1</v>
      </c>
      <c r="K69" s="3" t="n">
        <v>11576.2</v>
      </c>
      <c r="L69" s="4" t="n">
        <v>42.14615463</v>
      </c>
      <c r="M69" s="3" t="n">
        <v>15890.6</v>
      </c>
      <c r="N69" s="4" t="n">
        <v>57.85384537</v>
      </c>
    </row>
    <row r="70" customFormat="false" ht="15" hidden="false" customHeight="false" outlineLevel="0" collapsed="false">
      <c r="A70" s="2" t="s">
        <v>115</v>
      </c>
      <c r="B70" s="2" t="s">
        <v>15</v>
      </c>
      <c r="C70" s="2" t="s">
        <v>90</v>
      </c>
      <c r="D70" s="2" t="s">
        <v>25</v>
      </c>
      <c r="E70" s="2" t="s">
        <v>91</v>
      </c>
      <c r="F70" s="2" t="s">
        <v>19</v>
      </c>
      <c r="G70" s="2" t="n">
        <v>2019</v>
      </c>
      <c r="H70" s="3" t="n">
        <v>27406.8</v>
      </c>
      <c r="I70" s="3" t="n">
        <v>18341.2</v>
      </c>
      <c r="J70" s="3" t="n">
        <v>9084.4</v>
      </c>
      <c r="K70" s="3" t="n">
        <v>13658.7</v>
      </c>
      <c r="L70" s="4" t="n">
        <v>49.83690179</v>
      </c>
      <c r="M70" s="3" t="n">
        <v>13748.1</v>
      </c>
      <c r="N70" s="4" t="n">
        <v>50.16309821</v>
      </c>
    </row>
    <row r="71" customFormat="false" ht="15" hidden="false" customHeight="false" outlineLevel="0" collapsed="false">
      <c r="A71" s="2" t="s">
        <v>116</v>
      </c>
      <c r="B71" s="2" t="s">
        <v>15</v>
      </c>
      <c r="C71" s="2" t="s">
        <v>22</v>
      </c>
      <c r="D71" s="2" t="s">
        <v>17</v>
      </c>
      <c r="E71" s="2" t="s">
        <v>18</v>
      </c>
      <c r="F71" s="2" t="s">
        <v>19</v>
      </c>
      <c r="G71" s="2" t="n">
        <v>2009</v>
      </c>
      <c r="H71" s="3" t="n">
        <v>27125.8</v>
      </c>
      <c r="I71" s="3" t="n">
        <v>23925.9</v>
      </c>
      <c r="J71" s="3" t="n">
        <v>3208.7</v>
      </c>
      <c r="K71" s="3" t="n">
        <v>11656.5</v>
      </c>
      <c r="L71" s="4" t="n">
        <v>42.97200451</v>
      </c>
      <c r="M71" s="3" t="n">
        <v>15469.3</v>
      </c>
      <c r="N71" s="4" t="n">
        <v>57.02799549</v>
      </c>
    </row>
    <row r="72" customFormat="false" ht="15" hidden="false" customHeight="false" outlineLevel="0" collapsed="false">
      <c r="A72" s="2" t="s">
        <v>117</v>
      </c>
      <c r="B72" s="2" t="s">
        <v>21</v>
      </c>
      <c r="C72" s="2" t="s">
        <v>22</v>
      </c>
      <c r="D72" s="2" t="s">
        <v>17</v>
      </c>
      <c r="E72" s="2" t="s">
        <v>23</v>
      </c>
      <c r="F72" s="2" t="s">
        <v>19</v>
      </c>
      <c r="G72" s="2" t="n">
        <v>2008</v>
      </c>
      <c r="H72" s="3" t="n">
        <v>26895.1</v>
      </c>
      <c r="I72" s="3" t="n">
        <v>16017.5</v>
      </c>
      <c r="J72" s="3" t="n">
        <v>10884.4</v>
      </c>
      <c r="K72" s="3" t="n">
        <v>10921.5</v>
      </c>
      <c r="L72" s="4" t="n">
        <v>40.6077687</v>
      </c>
      <c r="M72" s="3" t="n">
        <v>15973.6</v>
      </c>
      <c r="N72" s="4" t="n">
        <v>59.3922313</v>
      </c>
    </row>
    <row r="73" customFormat="false" ht="15" hidden="false" customHeight="false" outlineLevel="0" collapsed="false">
      <c r="A73" s="2" t="s">
        <v>118</v>
      </c>
      <c r="B73" s="2" t="s">
        <v>15</v>
      </c>
      <c r="C73" s="2" t="s">
        <v>22</v>
      </c>
      <c r="D73" s="2" t="s">
        <v>17</v>
      </c>
      <c r="E73" s="2" t="s">
        <v>28</v>
      </c>
      <c r="F73" s="2" t="s">
        <v>19</v>
      </c>
      <c r="G73" s="2" t="n">
        <v>2011</v>
      </c>
      <c r="H73" s="3" t="n">
        <v>26465.2</v>
      </c>
      <c r="I73" s="3" t="n">
        <v>5073.8</v>
      </c>
      <c r="J73" s="3" t="n">
        <v>21394.8</v>
      </c>
      <c r="K73" s="3" t="n">
        <v>318.4</v>
      </c>
      <c r="L73" s="4" t="n">
        <v>1.20308934</v>
      </c>
      <c r="M73" s="3" t="n">
        <v>26146.8</v>
      </c>
      <c r="N73" s="4" t="n">
        <v>98.79691066</v>
      </c>
    </row>
    <row r="74" customFormat="false" ht="15" hidden="false" customHeight="false" outlineLevel="0" collapsed="false">
      <c r="A74" s="2" t="s">
        <v>119</v>
      </c>
      <c r="B74" s="2" t="s">
        <v>15</v>
      </c>
      <c r="C74" s="2" t="s">
        <v>34</v>
      </c>
      <c r="D74" s="2" t="s">
        <v>17</v>
      </c>
      <c r="E74" s="2" t="s">
        <v>52</v>
      </c>
      <c r="F74" s="2" t="s">
        <v>49</v>
      </c>
      <c r="G74" s="2" t="n">
        <v>1962</v>
      </c>
      <c r="H74" s="3" t="n">
        <v>26130.5</v>
      </c>
      <c r="I74" s="3" t="n">
        <v>26138.7</v>
      </c>
      <c r="J74" s="3" t="n">
        <v>2.2</v>
      </c>
      <c r="K74" s="3" t="n">
        <v>26123</v>
      </c>
      <c r="L74" s="4" t="n">
        <v>99.97129791</v>
      </c>
      <c r="M74" s="3" t="n">
        <v>7.5</v>
      </c>
      <c r="N74" s="4" t="n">
        <v>0.02870209143</v>
      </c>
    </row>
    <row r="75" customFormat="false" ht="15" hidden="false" customHeight="false" outlineLevel="0" collapsed="false">
      <c r="A75" s="2" t="s">
        <v>120</v>
      </c>
      <c r="B75" s="2" t="s">
        <v>15</v>
      </c>
      <c r="C75" s="2" t="s">
        <v>22</v>
      </c>
      <c r="D75" s="2" t="s">
        <v>17</v>
      </c>
      <c r="E75" s="2" t="s">
        <v>23</v>
      </c>
      <c r="F75" s="2" t="s">
        <v>19</v>
      </c>
      <c r="G75" s="2" t="n">
        <v>2004</v>
      </c>
      <c r="H75" s="3" t="n">
        <v>25875.8</v>
      </c>
      <c r="I75" s="3" t="n">
        <v>18250.9</v>
      </c>
      <c r="J75" s="3" t="n">
        <v>7641</v>
      </c>
      <c r="K75" s="3" t="n">
        <v>2321.7</v>
      </c>
      <c r="L75" s="4" t="n">
        <v>8.972476213</v>
      </c>
      <c r="M75" s="3" t="n">
        <v>23554.1</v>
      </c>
      <c r="N75" s="4" t="n">
        <v>91.02752379</v>
      </c>
    </row>
    <row r="76" customFormat="false" ht="15" hidden="false" customHeight="false" outlineLevel="0" collapsed="false">
      <c r="A76" s="2" t="s">
        <v>121</v>
      </c>
      <c r="B76" s="2" t="s">
        <v>15</v>
      </c>
      <c r="C76" s="2" t="s">
        <v>22</v>
      </c>
      <c r="D76" s="2" t="s">
        <v>25</v>
      </c>
      <c r="E76" s="2" t="s">
        <v>26</v>
      </c>
      <c r="F76" s="2" t="s">
        <v>19</v>
      </c>
      <c r="G76" s="2" t="n">
        <v>1995</v>
      </c>
      <c r="H76" s="3" t="n">
        <v>25875.4</v>
      </c>
      <c r="I76" s="3" t="n">
        <v>11175.4</v>
      </c>
      <c r="J76" s="3" t="n">
        <v>14672</v>
      </c>
      <c r="K76" s="3" t="n">
        <v>2972.5</v>
      </c>
      <c r="L76" s="4" t="n">
        <v>11.48774512</v>
      </c>
      <c r="M76" s="3" t="n">
        <v>22902.9</v>
      </c>
      <c r="N76" s="4" t="n">
        <v>88.51225488</v>
      </c>
    </row>
    <row r="77" customFormat="false" ht="15" hidden="false" customHeight="false" outlineLevel="0" collapsed="false">
      <c r="A77" s="2" t="s">
        <v>122</v>
      </c>
      <c r="B77" s="2" t="s">
        <v>15</v>
      </c>
      <c r="C77" s="2" t="s">
        <v>22</v>
      </c>
      <c r="D77" s="2" t="s">
        <v>17</v>
      </c>
      <c r="E77" s="2" t="s">
        <v>18</v>
      </c>
      <c r="F77" s="2" t="s">
        <v>19</v>
      </c>
      <c r="G77" s="2" t="n">
        <v>2011</v>
      </c>
      <c r="H77" s="3" t="n">
        <v>25818.4</v>
      </c>
      <c r="I77" s="3" t="n">
        <v>15382.2</v>
      </c>
      <c r="J77" s="3" t="n">
        <v>10446.9</v>
      </c>
      <c r="K77" s="3" t="n">
        <v>10109.8</v>
      </c>
      <c r="L77" s="4" t="n">
        <v>39.15734515</v>
      </c>
      <c r="M77" s="3" t="n">
        <v>15708.6</v>
      </c>
      <c r="N77" s="4" t="n">
        <v>60.84265485</v>
      </c>
    </row>
    <row r="78" customFormat="false" ht="15" hidden="false" customHeight="false" outlineLevel="0" collapsed="false">
      <c r="A78" s="2" t="s">
        <v>123</v>
      </c>
      <c r="B78" s="2" t="s">
        <v>21</v>
      </c>
      <c r="C78" s="2" t="s">
        <v>22</v>
      </c>
      <c r="D78" s="2" t="s">
        <v>17</v>
      </c>
      <c r="E78" s="2" t="s">
        <v>23</v>
      </c>
      <c r="F78" s="2" t="s">
        <v>19</v>
      </c>
      <c r="G78" s="2" t="n">
        <v>2014</v>
      </c>
      <c r="H78" s="3" t="n">
        <v>25687.5</v>
      </c>
      <c r="I78" s="3" t="n">
        <v>13902.2</v>
      </c>
      <c r="J78" s="3" t="n">
        <v>11792.3</v>
      </c>
      <c r="K78" s="3" t="n">
        <v>12376.1</v>
      </c>
      <c r="L78" s="4" t="n">
        <v>48.17946472</v>
      </c>
      <c r="M78" s="3" t="n">
        <v>13311.4</v>
      </c>
      <c r="N78" s="4" t="n">
        <v>51.82053528</v>
      </c>
    </row>
    <row r="79" customFormat="false" ht="15" hidden="false" customHeight="false" outlineLevel="0" collapsed="false">
      <c r="A79" s="2" t="s">
        <v>124</v>
      </c>
      <c r="B79" s="2" t="s">
        <v>15</v>
      </c>
      <c r="C79" s="2" t="s">
        <v>22</v>
      </c>
      <c r="D79" s="2" t="s">
        <v>17</v>
      </c>
      <c r="E79" s="2" t="s">
        <v>18</v>
      </c>
      <c r="F79" s="2" t="s">
        <v>19</v>
      </c>
      <c r="G79" s="2" t="n">
        <v>2006</v>
      </c>
      <c r="H79" s="3" t="n">
        <v>25289.9</v>
      </c>
      <c r="I79" s="3" t="n">
        <v>11748.9</v>
      </c>
      <c r="J79" s="3" t="n">
        <v>13549.3</v>
      </c>
      <c r="K79" s="3" t="n">
        <v>4844.5</v>
      </c>
      <c r="L79" s="4" t="n">
        <v>19.15586855</v>
      </c>
      <c r="M79" s="3" t="n">
        <v>20445.4</v>
      </c>
      <c r="N79" s="4" t="n">
        <v>80.84413145</v>
      </c>
    </row>
    <row r="80" customFormat="false" ht="15" hidden="false" customHeight="false" outlineLevel="0" collapsed="false">
      <c r="A80" s="2" t="s">
        <v>125</v>
      </c>
      <c r="B80" s="2" t="s">
        <v>15</v>
      </c>
      <c r="C80" s="2" t="s">
        <v>22</v>
      </c>
      <c r="D80" s="2" t="s">
        <v>17</v>
      </c>
      <c r="E80" s="2" t="s">
        <v>23</v>
      </c>
      <c r="F80" s="2" t="s">
        <v>19</v>
      </c>
      <c r="G80" s="2" t="n">
        <v>1964</v>
      </c>
      <c r="H80" s="3" t="n">
        <v>25264.4</v>
      </c>
      <c r="I80" s="3" t="n">
        <v>24355.5</v>
      </c>
      <c r="J80" s="3" t="n">
        <v>908.9</v>
      </c>
      <c r="K80" s="3" t="n">
        <v>22915.3</v>
      </c>
      <c r="L80" s="4" t="n">
        <v>90.70193632</v>
      </c>
      <c r="M80" s="3" t="n">
        <v>2349.1</v>
      </c>
      <c r="N80" s="4" t="n">
        <v>9.298063679</v>
      </c>
    </row>
    <row r="81" customFormat="false" ht="15" hidden="false" customHeight="false" outlineLevel="0" collapsed="false">
      <c r="A81" s="2" t="s">
        <v>126</v>
      </c>
      <c r="B81" s="2" t="s">
        <v>21</v>
      </c>
      <c r="C81" s="2" t="s">
        <v>22</v>
      </c>
      <c r="D81" s="2" t="s">
        <v>17</v>
      </c>
      <c r="E81" s="2" t="s">
        <v>23</v>
      </c>
      <c r="F81" s="2" t="s">
        <v>19</v>
      </c>
      <c r="G81" s="2" t="n">
        <v>2014</v>
      </c>
      <c r="H81" s="3" t="n">
        <v>24888.6</v>
      </c>
      <c r="I81" s="3" t="n">
        <v>22789.6</v>
      </c>
      <c r="J81" s="3" t="n">
        <v>2114.3</v>
      </c>
      <c r="K81" s="3" t="n">
        <v>22549.4</v>
      </c>
      <c r="L81" s="4" t="n">
        <v>90.60131948</v>
      </c>
      <c r="M81" s="3" t="n">
        <v>2339.2</v>
      </c>
      <c r="N81" s="4" t="n">
        <v>9.39868052</v>
      </c>
    </row>
    <row r="82" customFormat="false" ht="15" hidden="false" customHeight="false" outlineLevel="0" collapsed="false">
      <c r="A82" s="2" t="s">
        <v>127</v>
      </c>
      <c r="B82" s="2" t="s">
        <v>15</v>
      </c>
      <c r="C82" s="2" t="s">
        <v>22</v>
      </c>
      <c r="D82" s="2" t="s">
        <v>17</v>
      </c>
      <c r="E82" s="2" t="s">
        <v>28</v>
      </c>
      <c r="F82" s="2" t="s">
        <v>19</v>
      </c>
      <c r="G82" s="2" t="n">
        <v>2011</v>
      </c>
      <c r="H82" s="3" t="n">
        <v>24807.4</v>
      </c>
      <c r="I82" s="3" t="n">
        <v>20425.4</v>
      </c>
      <c r="J82" s="3" t="n">
        <v>4391.5</v>
      </c>
      <c r="K82" s="3" t="n">
        <v>18809.3</v>
      </c>
      <c r="L82" s="4" t="n">
        <v>75.82132751</v>
      </c>
      <c r="M82" s="3" t="n">
        <v>5998.1</v>
      </c>
      <c r="N82" s="4" t="n">
        <v>24.17867249</v>
      </c>
    </row>
    <row r="83" customFormat="false" ht="15" hidden="false" customHeight="false" outlineLevel="0" collapsed="false">
      <c r="A83" s="2" t="s">
        <v>128</v>
      </c>
      <c r="B83" s="2" t="s">
        <v>15</v>
      </c>
      <c r="C83" s="2" t="s">
        <v>129</v>
      </c>
      <c r="D83" s="2" t="s">
        <v>130</v>
      </c>
      <c r="E83" s="2" t="s">
        <v>131</v>
      </c>
      <c r="F83" s="2" t="s">
        <v>49</v>
      </c>
      <c r="G83" s="2" t="n">
        <v>1979</v>
      </c>
      <c r="H83" s="3" t="n">
        <v>24607</v>
      </c>
      <c r="I83" s="3" t="n">
        <v>24525.4</v>
      </c>
      <c r="J83" s="3" t="n">
        <v>81.6</v>
      </c>
      <c r="K83" s="3" t="n">
        <v>24410.8</v>
      </c>
      <c r="L83" s="4" t="n">
        <v>99.20266591</v>
      </c>
      <c r="M83" s="3" t="n">
        <v>196.2</v>
      </c>
      <c r="N83" s="4" t="n">
        <v>0.7973340919</v>
      </c>
    </row>
    <row r="84" customFormat="false" ht="15" hidden="false" customHeight="false" outlineLevel="0" collapsed="false">
      <c r="A84" s="2" t="s">
        <v>132</v>
      </c>
      <c r="B84" s="2" t="s">
        <v>15</v>
      </c>
      <c r="C84" s="2" t="s">
        <v>22</v>
      </c>
      <c r="D84" s="2" t="s">
        <v>17</v>
      </c>
      <c r="E84" s="2" t="s">
        <v>18</v>
      </c>
      <c r="F84" s="2" t="s">
        <v>19</v>
      </c>
      <c r="G84" s="2" t="n">
        <v>1996</v>
      </c>
      <c r="H84" s="3" t="n">
        <v>24440.1</v>
      </c>
      <c r="I84" s="3" t="n">
        <v>13311.3</v>
      </c>
      <c r="J84" s="3" t="n">
        <v>11139.9</v>
      </c>
      <c r="K84" s="3" t="n">
        <v>2764.3</v>
      </c>
      <c r="L84" s="4" t="n">
        <v>11.31051019</v>
      </c>
      <c r="M84" s="3" t="n">
        <v>21675.8</v>
      </c>
      <c r="N84" s="4" t="n">
        <v>88.68948981</v>
      </c>
    </row>
    <row r="85" customFormat="false" ht="15" hidden="false" customHeight="false" outlineLevel="0" collapsed="false">
      <c r="A85" s="2" t="s">
        <v>133</v>
      </c>
      <c r="B85" s="2" t="s">
        <v>15</v>
      </c>
      <c r="C85" s="2" t="s">
        <v>22</v>
      </c>
      <c r="D85" s="2" t="s">
        <v>17</v>
      </c>
      <c r="E85" s="2" t="s">
        <v>18</v>
      </c>
      <c r="F85" s="2" t="s">
        <v>19</v>
      </c>
      <c r="G85" s="2" t="n">
        <v>2011</v>
      </c>
      <c r="H85" s="3" t="n">
        <v>24217.2</v>
      </c>
      <c r="I85" s="3" t="n">
        <v>14721.3</v>
      </c>
      <c r="J85" s="3" t="n">
        <v>9504.3</v>
      </c>
      <c r="K85" s="3" t="n">
        <v>6253.7</v>
      </c>
      <c r="L85" s="4" t="n">
        <v>25.82338173</v>
      </c>
      <c r="M85" s="3" t="n">
        <v>17963.5</v>
      </c>
      <c r="N85" s="4" t="n">
        <v>74.17661827</v>
      </c>
    </row>
    <row r="86" customFormat="false" ht="15" hidden="false" customHeight="false" outlineLevel="0" collapsed="false">
      <c r="A86" s="2" t="s">
        <v>134</v>
      </c>
      <c r="B86" s="2" t="s">
        <v>21</v>
      </c>
      <c r="C86" s="2" t="s">
        <v>22</v>
      </c>
      <c r="D86" s="2" t="s">
        <v>17</v>
      </c>
      <c r="E86" s="2" t="s">
        <v>23</v>
      </c>
      <c r="F86" s="2" t="s">
        <v>19</v>
      </c>
      <c r="G86" s="2" t="n">
        <v>2006</v>
      </c>
      <c r="H86" s="3" t="n">
        <v>23907.6</v>
      </c>
      <c r="I86" s="3" t="n">
        <v>20739</v>
      </c>
      <c r="J86" s="3" t="n">
        <v>3175.7</v>
      </c>
      <c r="K86" s="3" t="n">
        <v>18453.9</v>
      </c>
      <c r="L86" s="4" t="n">
        <v>77.18842544</v>
      </c>
      <c r="M86" s="3" t="n">
        <v>5453.7</v>
      </c>
      <c r="N86" s="4" t="n">
        <v>22.81157456</v>
      </c>
    </row>
    <row r="87" customFormat="false" ht="15" hidden="false" customHeight="false" outlineLevel="0" collapsed="false">
      <c r="A87" s="2" t="s">
        <v>135</v>
      </c>
      <c r="B87" s="2" t="s">
        <v>15</v>
      </c>
      <c r="C87" s="2" t="s">
        <v>22</v>
      </c>
      <c r="D87" s="2" t="s">
        <v>17</v>
      </c>
      <c r="E87" s="2" t="s">
        <v>61</v>
      </c>
      <c r="F87" s="2" t="s">
        <v>49</v>
      </c>
      <c r="G87" s="2" t="n">
        <v>2012</v>
      </c>
      <c r="H87" s="3" t="n">
        <v>23845.1</v>
      </c>
      <c r="I87" s="3" t="n">
        <v>22661.5</v>
      </c>
      <c r="J87" s="3" t="n">
        <v>1189.8</v>
      </c>
      <c r="K87" s="3" t="n">
        <v>3830.9</v>
      </c>
      <c r="L87" s="4" t="n">
        <v>16.06577452</v>
      </c>
      <c r="M87" s="3" t="n">
        <v>20014.2</v>
      </c>
      <c r="N87" s="4" t="n">
        <v>83.93422548</v>
      </c>
    </row>
    <row r="88" customFormat="false" ht="15" hidden="false" customHeight="false" outlineLevel="0" collapsed="false">
      <c r="A88" s="2" t="s">
        <v>136</v>
      </c>
      <c r="B88" s="2" t="s">
        <v>15</v>
      </c>
      <c r="C88" s="2" t="s">
        <v>22</v>
      </c>
      <c r="D88" s="2" t="s">
        <v>17</v>
      </c>
      <c r="E88" s="2" t="s">
        <v>61</v>
      </c>
      <c r="F88" s="2" t="s">
        <v>19</v>
      </c>
      <c r="G88" s="2" t="n">
        <v>2015</v>
      </c>
      <c r="H88" s="3" t="n">
        <v>23705.9</v>
      </c>
      <c r="I88" s="3" t="n">
        <v>17589.4</v>
      </c>
      <c r="J88" s="3" t="n">
        <v>6122.5</v>
      </c>
      <c r="K88" s="3" t="n">
        <v>1704.1</v>
      </c>
      <c r="L88" s="4" t="n">
        <v>7.188505815</v>
      </c>
      <c r="M88" s="3" t="n">
        <v>22001.8</v>
      </c>
      <c r="N88" s="4" t="n">
        <v>92.81149418</v>
      </c>
    </row>
    <row r="89" customFormat="false" ht="15" hidden="false" customHeight="false" outlineLevel="0" collapsed="false">
      <c r="A89" s="2" t="s">
        <v>137</v>
      </c>
      <c r="B89" s="2" t="s">
        <v>21</v>
      </c>
      <c r="C89" s="2" t="s">
        <v>22</v>
      </c>
      <c r="D89" s="2" t="s">
        <v>17</v>
      </c>
      <c r="E89" s="2" t="s">
        <v>18</v>
      </c>
      <c r="F89" s="2" t="s">
        <v>19</v>
      </c>
      <c r="G89" s="2" t="n">
        <v>2015</v>
      </c>
      <c r="H89" s="3" t="n">
        <v>22494.9</v>
      </c>
      <c r="I89" s="3" t="n">
        <v>10833.6</v>
      </c>
      <c r="J89" s="3" t="n">
        <v>11666.6</v>
      </c>
      <c r="K89" s="3" t="n">
        <v>4407.8</v>
      </c>
      <c r="L89" s="4" t="n">
        <v>19.59466368</v>
      </c>
      <c r="M89" s="3" t="n">
        <v>18087.1</v>
      </c>
      <c r="N89" s="4" t="n">
        <v>80.40533632</v>
      </c>
    </row>
    <row r="90" customFormat="false" ht="15" hidden="false" customHeight="false" outlineLevel="0" collapsed="false">
      <c r="A90" s="2" t="s">
        <v>138</v>
      </c>
      <c r="B90" s="2" t="s">
        <v>15</v>
      </c>
      <c r="C90" s="2" t="s">
        <v>22</v>
      </c>
      <c r="D90" s="2" t="s">
        <v>17</v>
      </c>
      <c r="E90" s="2" t="s">
        <v>58</v>
      </c>
      <c r="F90" s="2" t="s">
        <v>49</v>
      </c>
      <c r="G90" s="2" t="n">
        <v>2009</v>
      </c>
      <c r="H90" s="3" t="n">
        <v>22475.8</v>
      </c>
      <c r="I90" s="3" t="n">
        <v>22215.2</v>
      </c>
      <c r="J90" s="3" t="n">
        <v>269.1</v>
      </c>
      <c r="K90" s="3" t="n">
        <v>22142.6</v>
      </c>
      <c r="L90" s="4" t="n">
        <v>98.51751662</v>
      </c>
      <c r="M90" s="3" t="n">
        <v>333.2</v>
      </c>
      <c r="N90" s="4" t="n">
        <v>1.482483382</v>
      </c>
    </row>
    <row r="91" customFormat="false" ht="15" hidden="false" customHeight="false" outlineLevel="0" collapsed="false">
      <c r="A91" s="2" t="s">
        <v>139</v>
      </c>
      <c r="B91" s="2" t="s">
        <v>79</v>
      </c>
      <c r="C91" s="2" t="s">
        <v>22</v>
      </c>
      <c r="D91" s="2" t="s">
        <v>17</v>
      </c>
      <c r="E91" s="2" t="s">
        <v>140</v>
      </c>
      <c r="F91" s="2" t="s">
        <v>49</v>
      </c>
      <c r="G91" s="2" t="n">
        <v>1949</v>
      </c>
      <c r="H91" s="3" t="n">
        <v>22236.1</v>
      </c>
      <c r="I91" s="3" t="n">
        <v>287.8</v>
      </c>
      <c r="J91" s="3" t="n">
        <v>21966.6</v>
      </c>
      <c r="K91" s="3" t="n">
        <v>0</v>
      </c>
      <c r="L91" s="4" t="n">
        <v>0</v>
      </c>
      <c r="M91" s="3" t="n">
        <v>22236.1</v>
      </c>
      <c r="N91" s="4" t="n">
        <v>100</v>
      </c>
    </row>
    <row r="92" customFormat="false" ht="15" hidden="false" customHeight="false" outlineLevel="0" collapsed="false">
      <c r="A92" s="2" t="s">
        <v>141</v>
      </c>
      <c r="B92" s="2" t="s">
        <v>15</v>
      </c>
      <c r="C92" s="2" t="s">
        <v>22</v>
      </c>
      <c r="D92" s="2" t="s">
        <v>25</v>
      </c>
      <c r="E92" s="2" t="s">
        <v>26</v>
      </c>
      <c r="F92" s="2" t="s">
        <v>19</v>
      </c>
      <c r="G92" s="2" t="n">
        <v>2004</v>
      </c>
      <c r="H92" s="3" t="n">
        <v>21937.3</v>
      </c>
      <c r="I92" s="3" t="n">
        <v>8927.4</v>
      </c>
      <c r="J92" s="3" t="n">
        <v>13023.3</v>
      </c>
      <c r="K92" s="3" t="n">
        <v>3007</v>
      </c>
      <c r="L92" s="4" t="n">
        <v>13.70724747</v>
      </c>
      <c r="M92" s="3" t="n">
        <v>18930.3</v>
      </c>
      <c r="N92" s="4" t="n">
        <v>86.29275253</v>
      </c>
    </row>
    <row r="93" customFormat="false" ht="15" hidden="false" customHeight="false" outlineLevel="0" collapsed="false">
      <c r="A93" s="2" t="s">
        <v>142</v>
      </c>
      <c r="B93" s="2" t="s">
        <v>79</v>
      </c>
      <c r="C93" s="2" t="s">
        <v>22</v>
      </c>
      <c r="D93" s="2" t="s">
        <v>17</v>
      </c>
      <c r="E93" s="2" t="s">
        <v>52</v>
      </c>
      <c r="F93" s="2" t="s">
        <v>49</v>
      </c>
      <c r="G93" s="2" t="n">
        <v>1984</v>
      </c>
      <c r="H93" s="3" t="n">
        <v>21873.8</v>
      </c>
      <c r="I93" s="3" t="n">
        <v>21884.2</v>
      </c>
      <c r="J93" s="3" t="n">
        <v>0</v>
      </c>
      <c r="K93" s="3" t="n">
        <v>21872.4</v>
      </c>
      <c r="L93" s="4" t="n">
        <v>99.99359965</v>
      </c>
      <c r="M93" s="3" t="n">
        <v>1.4</v>
      </c>
      <c r="N93" s="4" t="n">
        <v>0.006400351105</v>
      </c>
    </row>
    <row r="94" customFormat="false" ht="15" hidden="false" customHeight="false" outlineLevel="0" collapsed="false">
      <c r="A94" s="2" t="s">
        <v>143</v>
      </c>
      <c r="B94" s="2" t="s">
        <v>21</v>
      </c>
      <c r="C94" s="2" t="s">
        <v>144</v>
      </c>
      <c r="D94" s="2" t="s">
        <v>17</v>
      </c>
      <c r="E94" s="2" t="s">
        <v>23</v>
      </c>
      <c r="F94" s="2" t="s">
        <v>19</v>
      </c>
      <c r="G94" s="2" t="n">
        <v>2012</v>
      </c>
      <c r="H94" s="3" t="n">
        <v>21546.2</v>
      </c>
      <c r="I94" s="3" t="n">
        <v>12365.6</v>
      </c>
      <c r="J94" s="3" t="n">
        <v>9186</v>
      </c>
      <c r="K94" s="3" t="n">
        <v>6409.3</v>
      </c>
      <c r="L94" s="4" t="n">
        <v>29.74677669</v>
      </c>
      <c r="M94" s="3" t="n">
        <v>15136.9</v>
      </c>
      <c r="N94" s="4" t="n">
        <v>70.25322331</v>
      </c>
    </row>
    <row r="95" customFormat="false" ht="15" hidden="false" customHeight="false" outlineLevel="0" collapsed="false">
      <c r="A95" s="2" t="s">
        <v>145</v>
      </c>
      <c r="B95" s="2" t="s">
        <v>15</v>
      </c>
      <c r="C95" s="2" t="s">
        <v>22</v>
      </c>
      <c r="D95" s="2" t="s">
        <v>17</v>
      </c>
      <c r="E95" s="2" t="s">
        <v>18</v>
      </c>
      <c r="F95" s="2" t="s">
        <v>49</v>
      </c>
      <c r="G95" s="2" t="n">
        <v>2014</v>
      </c>
      <c r="H95" s="3" t="n">
        <v>21202.3</v>
      </c>
      <c r="I95" s="3" t="n">
        <v>20357.3</v>
      </c>
      <c r="J95" s="3" t="n">
        <v>851.6</v>
      </c>
      <c r="K95" s="3" t="n">
        <v>16646.9</v>
      </c>
      <c r="L95" s="4" t="n">
        <v>78.51459511</v>
      </c>
      <c r="M95" s="3" t="n">
        <v>4555.4</v>
      </c>
      <c r="N95" s="4" t="n">
        <v>21.48540489</v>
      </c>
    </row>
    <row r="96" customFormat="false" ht="15" hidden="false" customHeight="false" outlineLevel="0" collapsed="false">
      <c r="A96" s="2" t="s">
        <v>146</v>
      </c>
      <c r="B96" s="2" t="s">
        <v>79</v>
      </c>
      <c r="C96" s="2" t="s">
        <v>22</v>
      </c>
      <c r="D96" s="2" t="s">
        <v>17</v>
      </c>
      <c r="E96" s="2" t="s">
        <v>23</v>
      </c>
      <c r="F96" s="2" t="s">
        <v>49</v>
      </c>
      <c r="G96" s="2" t="n">
        <v>2007</v>
      </c>
      <c r="H96" s="3" t="n">
        <v>21182.2</v>
      </c>
      <c r="I96" s="3" t="n">
        <v>19519.4</v>
      </c>
      <c r="J96" s="3" t="n">
        <v>1669.7</v>
      </c>
      <c r="K96" s="3" t="n">
        <v>17506.6</v>
      </c>
      <c r="L96" s="4" t="n">
        <v>82.64769476</v>
      </c>
      <c r="M96" s="3" t="n">
        <v>3675.6</v>
      </c>
      <c r="N96" s="4" t="n">
        <v>17.35230524</v>
      </c>
    </row>
    <row r="97" customFormat="false" ht="15" hidden="false" customHeight="false" outlineLevel="0" collapsed="false">
      <c r="A97" s="2" t="s">
        <v>147</v>
      </c>
      <c r="B97" s="2" t="s">
        <v>15</v>
      </c>
      <c r="C97" s="2" t="s">
        <v>148</v>
      </c>
      <c r="D97" s="2" t="s">
        <v>17</v>
      </c>
      <c r="E97" s="2" t="s">
        <v>61</v>
      </c>
      <c r="F97" s="2" t="s">
        <v>19</v>
      </c>
      <c r="G97" s="2" t="n">
        <v>2006</v>
      </c>
      <c r="H97" s="3" t="n">
        <v>21003.5</v>
      </c>
      <c r="I97" s="3" t="n">
        <v>20142.3</v>
      </c>
      <c r="J97" s="3" t="n">
        <v>867.4</v>
      </c>
      <c r="K97" s="3" t="n">
        <v>14179.7</v>
      </c>
      <c r="L97" s="4" t="n">
        <v>67.5111291</v>
      </c>
      <c r="M97" s="3" t="n">
        <v>6823.8</v>
      </c>
      <c r="N97" s="4" t="n">
        <v>32.4888709</v>
      </c>
    </row>
    <row r="98" customFormat="false" ht="15" hidden="false" customHeight="false" outlineLevel="0" collapsed="false">
      <c r="A98" s="2" t="s">
        <v>149</v>
      </c>
      <c r="B98" s="2" t="s">
        <v>15</v>
      </c>
      <c r="C98" s="2" t="s">
        <v>22</v>
      </c>
      <c r="D98" s="2" t="s">
        <v>17</v>
      </c>
      <c r="E98" s="2" t="s">
        <v>61</v>
      </c>
      <c r="F98" s="2" t="s">
        <v>19</v>
      </c>
      <c r="G98" s="2" t="n">
        <v>2002</v>
      </c>
      <c r="H98" s="3" t="n">
        <v>20670.8</v>
      </c>
      <c r="I98" s="3" t="n">
        <v>5352.4</v>
      </c>
      <c r="J98" s="3" t="n">
        <v>15318.4</v>
      </c>
      <c r="K98" s="3" t="n">
        <v>32.5</v>
      </c>
      <c r="L98" s="4" t="n">
        <v>0.1572266192</v>
      </c>
      <c r="M98" s="3" t="n">
        <v>20638.3</v>
      </c>
      <c r="N98" s="4" t="n">
        <v>99.84277338</v>
      </c>
    </row>
    <row r="99" customFormat="false" ht="15" hidden="false" customHeight="false" outlineLevel="0" collapsed="false">
      <c r="A99" s="2" t="s">
        <v>150</v>
      </c>
      <c r="B99" s="2" t="s">
        <v>15</v>
      </c>
      <c r="C99" s="2" t="s">
        <v>22</v>
      </c>
      <c r="D99" s="2" t="s">
        <v>17</v>
      </c>
      <c r="E99" s="2" t="s">
        <v>18</v>
      </c>
      <c r="F99" s="2" t="s">
        <v>19</v>
      </c>
      <c r="G99" s="2" t="n">
        <v>1993</v>
      </c>
      <c r="H99" s="3" t="n">
        <v>20644.8</v>
      </c>
      <c r="I99" s="3" t="n">
        <v>7762</v>
      </c>
      <c r="J99" s="3" t="n">
        <v>12890.7</v>
      </c>
      <c r="K99" s="3" t="n">
        <v>1744.2</v>
      </c>
      <c r="L99" s="4" t="n">
        <v>8.448616601</v>
      </c>
      <c r="M99" s="3" t="n">
        <v>18900.6</v>
      </c>
      <c r="N99" s="4" t="n">
        <v>91.5513834</v>
      </c>
    </row>
    <row r="100" customFormat="false" ht="15" hidden="false" customHeight="false" outlineLevel="0" collapsed="false">
      <c r="A100" s="2" t="s">
        <v>151</v>
      </c>
      <c r="B100" s="2" t="s">
        <v>15</v>
      </c>
      <c r="C100" s="2" t="s">
        <v>22</v>
      </c>
      <c r="D100" s="2" t="s">
        <v>25</v>
      </c>
      <c r="E100" s="2" t="s">
        <v>152</v>
      </c>
      <c r="F100" s="2" t="s">
        <v>19</v>
      </c>
      <c r="G100" s="2" t="n">
        <v>2011</v>
      </c>
      <c r="H100" s="3" t="n">
        <v>20549.2</v>
      </c>
      <c r="I100" s="3" t="n">
        <v>14249.8</v>
      </c>
      <c r="J100" s="3" t="n">
        <v>6311</v>
      </c>
      <c r="K100" s="3" t="n">
        <v>8225.7</v>
      </c>
      <c r="L100" s="4" t="n">
        <v>40.02929554</v>
      </c>
      <c r="M100" s="3" t="n">
        <v>12323.5</v>
      </c>
      <c r="N100" s="4" t="n">
        <v>59.97070446</v>
      </c>
    </row>
    <row r="101" customFormat="false" ht="15" hidden="false" customHeight="false" outlineLevel="0" collapsed="false">
      <c r="A101" s="2" t="s">
        <v>153</v>
      </c>
      <c r="B101" s="2" t="s">
        <v>15</v>
      </c>
      <c r="C101" s="2" t="s">
        <v>22</v>
      </c>
      <c r="D101" s="2" t="s">
        <v>17</v>
      </c>
      <c r="E101" s="2" t="s">
        <v>18</v>
      </c>
      <c r="F101" s="2" t="s">
        <v>19</v>
      </c>
      <c r="G101" s="2" t="n">
        <v>2003</v>
      </c>
      <c r="H101" s="3" t="n">
        <v>20444.6</v>
      </c>
      <c r="I101" s="3" t="n">
        <v>14112.2</v>
      </c>
      <c r="J101" s="3" t="n">
        <v>6342</v>
      </c>
      <c r="K101" s="3" t="n">
        <v>8484.4</v>
      </c>
      <c r="L101" s="4" t="n">
        <v>41.49946685</v>
      </c>
      <c r="M101" s="3" t="n">
        <v>11960.2</v>
      </c>
      <c r="N101" s="4" t="n">
        <v>58.50053315</v>
      </c>
    </row>
    <row r="102" customFormat="false" ht="15" hidden="false" customHeight="false" outlineLevel="0" collapsed="false">
      <c r="A102" s="2" t="s">
        <v>154</v>
      </c>
      <c r="B102" s="2" t="s">
        <v>15</v>
      </c>
      <c r="C102" s="2" t="s">
        <v>90</v>
      </c>
      <c r="D102" s="2" t="s">
        <v>25</v>
      </c>
      <c r="E102" s="2" t="s">
        <v>91</v>
      </c>
      <c r="F102" s="2" t="s">
        <v>19</v>
      </c>
      <c r="G102" s="2" t="n">
        <v>2018</v>
      </c>
      <c r="H102" s="3" t="n">
        <v>20300.7</v>
      </c>
      <c r="I102" s="3" t="n">
        <v>13993.4</v>
      </c>
      <c r="J102" s="3" t="n">
        <v>6316.3</v>
      </c>
      <c r="K102" s="3" t="n">
        <v>7574.2</v>
      </c>
      <c r="L102" s="4" t="n">
        <v>37.3100435</v>
      </c>
      <c r="M102" s="3" t="n">
        <v>12726.5</v>
      </c>
      <c r="N102" s="4" t="n">
        <v>62.6899565</v>
      </c>
    </row>
    <row r="103" customFormat="false" ht="15" hidden="false" customHeight="false" outlineLevel="0" collapsed="false">
      <c r="A103" s="2" t="s">
        <v>155</v>
      </c>
      <c r="B103" s="2" t="s">
        <v>15</v>
      </c>
      <c r="C103" s="2" t="s">
        <v>22</v>
      </c>
      <c r="D103" s="2" t="s">
        <v>17</v>
      </c>
      <c r="E103" s="2" t="s">
        <v>18</v>
      </c>
      <c r="F103" s="2" t="s">
        <v>19</v>
      </c>
      <c r="G103" s="2" t="n">
        <v>2015</v>
      </c>
      <c r="H103" s="3" t="n">
        <v>20138.1</v>
      </c>
      <c r="I103" s="3" t="n">
        <v>15305.8</v>
      </c>
      <c r="J103" s="3" t="n">
        <v>4841.7</v>
      </c>
      <c r="K103" s="3" t="n">
        <v>13558.6</v>
      </c>
      <c r="L103" s="4" t="n">
        <v>67.32809947</v>
      </c>
      <c r="M103" s="3" t="n">
        <v>6579.5</v>
      </c>
      <c r="N103" s="4" t="n">
        <v>32.67190053</v>
      </c>
    </row>
    <row r="104" customFormat="false" ht="15" hidden="false" customHeight="false" outlineLevel="0" collapsed="false">
      <c r="A104" s="2" t="s">
        <v>156</v>
      </c>
      <c r="B104" s="2" t="s">
        <v>15</v>
      </c>
      <c r="C104" s="2" t="s">
        <v>22</v>
      </c>
      <c r="D104" s="2" t="s">
        <v>17</v>
      </c>
      <c r="E104" s="2" t="s">
        <v>18</v>
      </c>
      <c r="F104" s="2" t="s">
        <v>19</v>
      </c>
      <c r="G104" s="2" t="n">
        <v>2007</v>
      </c>
      <c r="H104" s="3" t="n">
        <v>20091.1</v>
      </c>
      <c r="I104" s="3" t="n">
        <v>18765.5</v>
      </c>
      <c r="J104" s="3" t="n">
        <v>1328</v>
      </c>
      <c r="K104" s="3" t="n">
        <v>12865.2</v>
      </c>
      <c r="L104" s="4" t="n">
        <v>64.03432366</v>
      </c>
      <c r="M104" s="3" t="n">
        <v>7225.9</v>
      </c>
      <c r="N104" s="4" t="n">
        <v>35.96567634</v>
      </c>
    </row>
    <row r="105" customFormat="false" ht="15" hidden="false" customHeight="false" outlineLevel="0" collapsed="false">
      <c r="A105" s="2" t="s">
        <v>157</v>
      </c>
      <c r="B105" s="2" t="s">
        <v>15</v>
      </c>
      <c r="C105" s="2" t="s">
        <v>22</v>
      </c>
      <c r="D105" s="2" t="s">
        <v>17</v>
      </c>
      <c r="E105" s="2" t="s">
        <v>18</v>
      </c>
      <c r="F105" s="2" t="s">
        <v>19</v>
      </c>
      <c r="G105" s="2" t="n">
        <v>2015</v>
      </c>
      <c r="H105" s="3" t="n">
        <v>19977.5</v>
      </c>
      <c r="I105" s="3" t="n">
        <v>9365.1</v>
      </c>
      <c r="J105" s="3" t="n">
        <v>10617.1</v>
      </c>
      <c r="K105" s="3" t="n">
        <v>5320.2</v>
      </c>
      <c r="L105" s="4" t="n">
        <v>26.63095983</v>
      </c>
      <c r="M105" s="3" t="n">
        <v>14657.3</v>
      </c>
      <c r="N105" s="4" t="n">
        <v>73.36904017</v>
      </c>
    </row>
    <row r="106" customFormat="false" ht="15" hidden="false" customHeight="false" outlineLevel="0" collapsed="false">
      <c r="A106" s="2" t="s">
        <v>158</v>
      </c>
      <c r="B106" s="2" t="s">
        <v>15</v>
      </c>
      <c r="C106" s="2" t="s">
        <v>22</v>
      </c>
      <c r="D106" s="2" t="s">
        <v>17</v>
      </c>
      <c r="E106" s="2" t="s">
        <v>18</v>
      </c>
      <c r="F106" s="2" t="s">
        <v>19</v>
      </c>
      <c r="G106" s="2" t="n">
        <v>2017</v>
      </c>
      <c r="H106" s="3" t="n">
        <v>19830.5</v>
      </c>
      <c r="I106" s="3" t="n">
        <v>12351.9</v>
      </c>
      <c r="J106" s="3" t="n">
        <v>7494</v>
      </c>
      <c r="K106" s="3" t="n">
        <v>8302.6</v>
      </c>
      <c r="L106" s="4" t="n">
        <v>41.86782986</v>
      </c>
      <c r="M106" s="3" t="n">
        <v>11527.9</v>
      </c>
      <c r="N106" s="4" t="n">
        <v>58.13217014</v>
      </c>
    </row>
    <row r="107" customFormat="false" ht="15" hidden="false" customHeight="false" outlineLevel="0" collapsed="false">
      <c r="A107" s="2" t="s">
        <v>159</v>
      </c>
      <c r="B107" s="2" t="s">
        <v>15</v>
      </c>
      <c r="C107" s="2" t="s">
        <v>22</v>
      </c>
      <c r="D107" s="2" t="s">
        <v>17</v>
      </c>
      <c r="E107" s="2" t="s">
        <v>99</v>
      </c>
      <c r="F107" s="2" t="s">
        <v>19</v>
      </c>
      <c r="G107" s="2" t="n">
        <v>2019</v>
      </c>
      <c r="H107" s="3" t="n">
        <v>19727.2</v>
      </c>
      <c r="I107" s="3" t="n">
        <v>19690.8</v>
      </c>
      <c r="J107" s="3" t="n">
        <v>47.3</v>
      </c>
      <c r="K107" s="3" t="n">
        <v>15838.7</v>
      </c>
      <c r="L107" s="4" t="n">
        <v>80.28863701</v>
      </c>
      <c r="M107" s="3" t="n">
        <v>3888.5</v>
      </c>
      <c r="N107" s="4" t="n">
        <v>19.71136299</v>
      </c>
    </row>
    <row r="108" customFormat="false" ht="15" hidden="false" customHeight="false" outlineLevel="0" collapsed="false">
      <c r="A108" s="2" t="s">
        <v>160</v>
      </c>
      <c r="B108" s="2" t="s">
        <v>15</v>
      </c>
      <c r="C108" s="2" t="s">
        <v>161</v>
      </c>
      <c r="D108" s="2" t="s">
        <v>17</v>
      </c>
      <c r="E108" s="2" t="s">
        <v>61</v>
      </c>
      <c r="F108" s="2" t="s">
        <v>19</v>
      </c>
      <c r="G108" s="2" t="n">
        <v>2013</v>
      </c>
      <c r="H108" s="3" t="n">
        <v>19707.8</v>
      </c>
      <c r="I108" s="3" t="n">
        <v>17829.8</v>
      </c>
      <c r="J108" s="3" t="n">
        <v>1883.3</v>
      </c>
      <c r="K108" s="3" t="n">
        <v>250.7</v>
      </c>
      <c r="L108" s="4" t="n">
        <v>1.272085164</v>
      </c>
      <c r="M108" s="3" t="n">
        <v>19457.1</v>
      </c>
      <c r="N108" s="4" t="n">
        <v>98.72791484</v>
      </c>
    </row>
    <row r="109" customFormat="false" ht="15" hidden="false" customHeight="false" outlineLevel="0" collapsed="false">
      <c r="A109" s="2" t="s">
        <v>162</v>
      </c>
      <c r="B109" s="2" t="s">
        <v>15</v>
      </c>
      <c r="C109" s="2" t="s">
        <v>163</v>
      </c>
      <c r="D109" s="2" t="s">
        <v>25</v>
      </c>
      <c r="E109" s="2" t="s">
        <v>26</v>
      </c>
      <c r="F109" s="2" t="s">
        <v>19</v>
      </c>
      <c r="G109" s="2" t="n">
        <v>2014</v>
      </c>
      <c r="H109" s="3" t="n">
        <v>19528.3</v>
      </c>
      <c r="I109" s="3" t="n">
        <v>7512.9</v>
      </c>
      <c r="J109" s="3" t="n">
        <v>12015.4</v>
      </c>
      <c r="K109" s="3" t="n">
        <v>2397.8</v>
      </c>
      <c r="L109" s="4" t="n">
        <v>12.27859056</v>
      </c>
      <c r="M109" s="3" t="n">
        <v>17130.5</v>
      </c>
      <c r="N109" s="4" t="n">
        <v>87.72140944</v>
      </c>
    </row>
    <row r="110" customFormat="false" ht="15" hidden="false" customHeight="false" outlineLevel="0" collapsed="false">
      <c r="A110" s="2" t="s">
        <v>164</v>
      </c>
      <c r="B110" s="2" t="s">
        <v>15</v>
      </c>
      <c r="C110" s="2" t="s">
        <v>22</v>
      </c>
      <c r="D110" s="2" t="s">
        <v>17</v>
      </c>
      <c r="E110" s="2" t="s">
        <v>58</v>
      </c>
      <c r="F110" s="2" t="s">
        <v>49</v>
      </c>
      <c r="G110" s="2" t="n">
        <v>2011</v>
      </c>
      <c r="H110" s="3" t="n">
        <v>19440.5</v>
      </c>
      <c r="I110" s="3" t="n">
        <v>19435.6</v>
      </c>
      <c r="J110" s="3" t="n">
        <v>14.3</v>
      </c>
      <c r="K110" s="3" t="n">
        <v>18793.5</v>
      </c>
      <c r="L110" s="4" t="n">
        <v>96.6718963</v>
      </c>
      <c r="M110" s="3" t="n">
        <v>647</v>
      </c>
      <c r="N110" s="4" t="n">
        <v>3.328103701</v>
      </c>
    </row>
    <row r="111" customFormat="false" ht="15" hidden="false" customHeight="false" outlineLevel="0" collapsed="false">
      <c r="A111" s="2" t="s">
        <v>165</v>
      </c>
      <c r="B111" s="2" t="s">
        <v>15</v>
      </c>
      <c r="C111" s="2" t="s">
        <v>22</v>
      </c>
      <c r="D111" s="2" t="s">
        <v>17</v>
      </c>
      <c r="E111" s="2" t="s">
        <v>18</v>
      </c>
      <c r="F111" s="2" t="s">
        <v>19</v>
      </c>
      <c r="G111" s="2" t="n">
        <v>2008</v>
      </c>
      <c r="H111" s="3" t="n">
        <v>19383.5</v>
      </c>
      <c r="I111" s="3" t="n">
        <v>2977.3</v>
      </c>
      <c r="J111" s="3" t="n">
        <v>16406.1</v>
      </c>
      <c r="K111" s="3" t="n">
        <v>809.7</v>
      </c>
      <c r="L111" s="4" t="n">
        <v>4.177264168</v>
      </c>
      <c r="M111" s="3" t="n">
        <v>18573.8</v>
      </c>
      <c r="N111" s="4" t="n">
        <v>95.82273583</v>
      </c>
    </row>
    <row r="112" customFormat="false" ht="15" hidden="false" customHeight="false" outlineLevel="0" collapsed="false">
      <c r="A112" s="2" t="s">
        <v>166</v>
      </c>
      <c r="B112" s="2" t="s">
        <v>15</v>
      </c>
      <c r="C112" s="2" t="s">
        <v>167</v>
      </c>
      <c r="D112" s="2" t="s">
        <v>168</v>
      </c>
      <c r="E112" s="2" t="s">
        <v>169</v>
      </c>
      <c r="F112" s="2" t="s">
        <v>49</v>
      </c>
      <c r="G112" s="2" t="n">
        <v>2008</v>
      </c>
      <c r="H112" s="3" t="n">
        <v>19231.7</v>
      </c>
      <c r="I112" s="3" t="n">
        <v>15881.4</v>
      </c>
      <c r="J112" s="3" t="n">
        <v>3360.5</v>
      </c>
      <c r="K112" s="3" t="n">
        <v>15399.4</v>
      </c>
      <c r="L112" s="4" t="n">
        <v>80.07300447</v>
      </c>
      <c r="M112" s="3" t="n">
        <v>3832.3</v>
      </c>
      <c r="N112" s="4" t="n">
        <v>19.92699553</v>
      </c>
    </row>
    <row r="113" customFormat="false" ht="15" hidden="false" customHeight="false" outlineLevel="0" collapsed="false">
      <c r="A113" s="2" t="s">
        <v>170</v>
      </c>
      <c r="B113" s="2" t="s">
        <v>15</v>
      </c>
      <c r="C113" s="2" t="s">
        <v>22</v>
      </c>
      <c r="D113" s="2" t="s">
        <v>17</v>
      </c>
      <c r="E113" s="2" t="s">
        <v>99</v>
      </c>
      <c r="F113" s="2" t="s">
        <v>19</v>
      </c>
      <c r="G113" s="2" t="n">
        <v>2014</v>
      </c>
      <c r="H113" s="3" t="n">
        <v>19101.6</v>
      </c>
      <c r="I113" s="3" t="n">
        <v>17465.4</v>
      </c>
      <c r="J113" s="3" t="n">
        <v>1647.2</v>
      </c>
      <c r="K113" s="3" t="n">
        <v>16648</v>
      </c>
      <c r="L113" s="4" t="n">
        <v>87.15500272</v>
      </c>
      <c r="M113" s="3" t="n">
        <v>2453.6</v>
      </c>
      <c r="N113" s="4" t="n">
        <v>12.84499728</v>
      </c>
    </row>
    <row r="114" customFormat="false" ht="15" hidden="false" customHeight="false" outlineLevel="0" collapsed="false">
      <c r="A114" s="2" t="s">
        <v>171</v>
      </c>
      <c r="B114" s="2" t="s">
        <v>15</v>
      </c>
      <c r="C114" s="2" t="s">
        <v>34</v>
      </c>
      <c r="D114" s="2" t="s">
        <v>17</v>
      </c>
      <c r="E114" s="2" t="s">
        <v>52</v>
      </c>
      <c r="F114" s="2" t="s">
        <v>19</v>
      </c>
      <c r="G114" s="2" t="n">
        <v>1969</v>
      </c>
      <c r="H114" s="3" t="n">
        <v>19090.4</v>
      </c>
      <c r="I114" s="3" t="n">
        <v>17435.4</v>
      </c>
      <c r="J114" s="3" t="n">
        <v>1662.4</v>
      </c>
      <c r="K114" s="3" t="n">
        <v>12211.1</v>
      </c>
      <c r="L114" s="4" t="n">
        <v>63.96461048</v>
      </c>
      <c r="M114" s="3" t="n">
        <v>6879.3</v>
      </c>
      <c r="N114" s="4" t="n">
        <v>36.03538952</v>
      </c>
    </row>
    <row r="115" customFormat="false" ht="15" hidden="false" customHeight="false" outlineLevel="0" collapsed="false">
      <c r="A115" s="2" t="s">
        <v>172</v>
      </c>
      <c r="B115" s="2" t="s">
        <v>15</v>
      </c>
      <c r="C115" s="2" t="s">
        <v>43</v>
      </c>
      <c r="D115" s="2" t="s">
        <v>25</v>
      </c>
      <c r="E115" s="2" t="s">
        <v>83</v>
      </c>
      <c r="F115" s="2" t="s">
        <v>19</v>
      </c>
      <c r="G115" s="2" t="n">
        <v>2016</v>
      </c>
      <c r="H115" s="3" t="n">
        <v>18912.7</v>
      </c>
      <c r="I115" s="3" t="n">
        <v>8490.9</v>
      </c>
      <c r="J115" s="3" t="n">
        <v>10429.4</v>
      </c>
      <c r="K115" s="3" t="n">
        <v>5716.7</v>
      </c>
      <c r="L115" s="4" t="n">
        <v>30.22677883</v>
      </c>
      <c r="M115" s="3" t="n">
        <v>13196</v>
      </c>
      <c r="N115" s="4" t="n">
        <v>69.77322117</v>
      </c>
    </row>
    <row r="116" customFormat="false" ht="15" hidden="false" customHeight="false" outlineLevel="0" collapsed="false">
      <c r="A116" s="2" t="s">
        <v>173</v>
      </c>
      <c r="B116" s="2" t="s">
        <v>15</v>
      </c>
      <c r="C116" s="2" t="s">
        <v>22</v>
      </c>
      <c r="D116" s="2" t="s">
        <v>17</v>
      </c>
      <c r="E116" s="2" t="s">
        <v>18</v>
      </c>
      <c r="F116" s="2" t="s">
        <v>19</v>
      </c>
      <c r="G116" s="2" t="n">
        <v>2016</v>
      </c>
      <c r="H116" s="3" t="n">
        <v>18889.6</v>
      </c>
      <c r="I116" s="3" t="n">
        <v>11762.8</v>
      </c>
      <c r="J116" s="3" t="n">
        <v>7126.8</v>
      </c>
      <c r="K116" s="3" t="n">
        <v>5822.1</v>
      </c>
      <c r="L116" s="4" t="n">
        <v>30.82172201</v>
      </c>
      <c r="M116" s="3" t="n">
        <v>13067.5</v>
      </c>
      <c r="N116" s="4" t="n">
        <v>69.17827799</v>
      </c>
    </row>
    <row r="117" customFormat="false" ht="15" hidden="false" customHeight="false" outlineLevel="0" collapsed="false">
      <c r="A117" s="2" t="s">
        <v>174</v>
      </c>
      <c r="B117" s="2" t="s">
        <v>21</v>
      </c>
      <c r="C117" s="2" t="s">
        <v>16</v>
      </c>
      <c r="D117" s="2" t="s">
        <v>17</v>
      </c>
      <c r="E117" s="2" t="s">
        <v>23</v>
      </c>
      <c r="F117" s="2" t="s">
        <v>19</v>
      </c>
      <c r="G117" s="2" t="n">
        <v>2017</v>
      </c>
      <c r="H117" s="3" t="n">
        <v>18707.3</v>
      </c>
      <c r="I117" s="3" t="n">
        <v>16893.7</v>
      </c>
      <c r="J117" s="3" t="n">
        <v>1823.3</v>
      </c>
      <c r="K117" s="3" t="n">
        <v>15280.9</v>
      </c>
      <c r="L117" s="4" t="n">
        <v>81.68415538</v>
      </c>
      <c r="M117" s="3" t="n">
        <v>3426.4</v>
      </c>
      <c r="N117" s="4" t="n">
        <v>18.31584462</v>
      </c>
    </row>
    <row r="118" customFormat="false" ht="15" hidden="false" customHeight="false" outlineLevel="0" collapsed="false">
      <c r="A118" s="2" t="s">
        <v>175</v>
      </c>
      <c r="B118" s="2" t="s">
        <v>15</v>
      </c>
      <c r="C118" s="2" t="s">
        <v>22</v>
      </c>
      <c r="D118" s="2" t="s">
        <v>17</v>
      </c>
      <c r="E118" s="2" t="s">
        <v>18</v>
      </c>
      <c r="F118" s="2" t="s">
        <v>19</v>
      </c>
      <c r="G118" s="2" t="n">
        <v>2014</v>
      </c>
      <c r="H118" s="3" t="n">
        <v>18649.5</v>
      </c>
      <c r="I118" s="3" t="n">
        <v>17855.2</v>
      </c>
      <c r="J118" s="3" t="n">
        <v>801</v>
      </c>
      <c r="K118" s="3" t="n">
        <v>9452.7</v>
      </c>
      <c r="L118" s="4" t="n">
        <v>50.68607737</v>
      </c>
      <c r="M118" s="3" t="n">
        <v>9196.8</v>
      </c>
      <c r="N118" s="4" t="n">
        <v>49.31392263</v>
      </c>
    </row>
    <row r="119" customFormat="false" ht="15" hidden="false" customHeight="false" outlineLevel="0" collapsed="false">
      <c r="A119" s="2" t="s">
        <v>176</v>
      </c>
      <c r="B119" s="2" t="s">
        <v>15</v>
      </c>
      <c r="C119" s="2" t="s">
        <v>22</v>
      </c>
      <c r="D119" s="2" t="s">
        <v>17</v>
      </c>
      <c r="E119" s="2" t="s">
        <v>52</v>
      </c>
      <c r="F119" s="2" t="s">
        <v>49</v>
      </c>
      <c r="G119" s="2" t="n">
        <v>1983</v>
      </c>
      <c r="H119" s="3" t="n">
        <v>18627</v>
      </c>
      <c r="I119" s="3" t="n">
        <v>18557</v>
      </c>
      <c r="J119" s="3" t="n">
        <v>77.9</v>
      </c>
      <c r="K119" s="3" t="n">
        <v>18283.1</v>
      </c>
      <c r="L119" s="4" t="n">
        <v>98.1537553</v>
      </c>
      <c r="M119" s="3" t="n">
        <v>343.9</v>
      </c>
      <c r="N119" s="4" t="n">
        <v>1.846244699</v>
      </c>
    </row>
    <row r="120" customFormat="false" ht="15" hidden="false" customHeight="false" outlineLevel="0" collapsed="false">
      <c r="A120" s="2" t="s">
        <v>177</v>
      </c>
      <c r="B120" s="2" t="s">
        <v>15</v>
      </c>
      <c r="C120" s="2" t="s">
        <v>22</v>
      </c>
      <c r="D120" s="2" t="s">
        <v>25</v>
      </c>
      <c r="E120" s="2" t="s">
        <v>26</v>
      </c>
      <c r="F120" s="2" t="s">
        <v>19</v>
      </c>
      <c r="G120" s="2" t="n">
        <v>2003</v>
      </c>
      <c r="H120" s="3" t="n">
        <v>18580.6</v>
      </c>
      <c r="I120" s="3" t="n">
        <v>14990.8</v>
      </c>
      <c r="J120" s="3" t="n">
        <v>3601.2</v>
      </c>
      <c r="K120" s="3" t="n">
        <v>8321.9</v>
      </c>
      <c r="L120" s="4" t="n">
        <v>44.78811233</v>
      </c>
      <c r="M120" s="3" t="n">
        <v>10258.7</v>
      </c>
      <c r="N120" s="4" t="n">
        <v>55.21188767</v>
      </c>
    </row>
    <row r="121" customFormat="false" ht="15" hidden="false" customHeight="false" outlineLevel="0" collapsed="false">
      <c r="A121" s="2" t="s">
        <v>178</v>
      </c>
      <c r="B121" s="2" t="s">
        <v>15</v>
      </c>
      <c r="C121" s="2" t="s">
        <v>22</v>
      </c>
      <c r="D121" s="2" t="s">
        <v>17</v>
      </c>
      <c r="E121" s="2" t="s">
        <v>28</v>
      </c>
      <c r="F121" s="2" t="s">
        <v>19</v>
      </c>
      <c r="G121" s="2" t="n">
        <v>1994</v>
      </c>
      <c r="H121" s="3" t="n">
        <v>18413.2</v>
      </c>
      <c r="I121" s="3" t="n">
        <v>12525.4</v>
      </c>
      <c r="J121" s="3" t="n">
        <v>5896.3</v>
      </c>
      <c r="K121" s="3" t="n">
        <v>5222.1</v>
      </c>
      <c r="L121" s="4" t="n">
        <v>28.36063259</v>
      </c>
      <c r="M121" s="3" t="n">
        <v>13191.1</v>
      </c>
      <c r="N121" s="4" t="n">
        <v>71.63936741</v>
      </c>
    </row>
    <row r="122" customFormat="false" ht="15" hidden="false" customHeight="false" outlineLevel="0" collapsed="false">
      <c r="A122" s="2" t="s">
        <v>179</v>
      </c>
      <c r="B122" s="2" t="s">
        <v>15</v>
      </c>
      <c r="C122" s="2" t="s">
        <v>22</v>
      </c>
      <c r="D122" s="2" t="s">
        <v>17</v>
      </c>
      <c r="E122" s="2" t="s">
        <v>23</v>
      </c>
      <c r="F122" s="2" t="s">
        <v>19</v>
      </c>
      <c r="G122" s="2" t="n">
        <v>2015</v>
      </c>
      <c r="H122" s="3" t="n">
        <v>18309.3</v>
      </c>
      <c r="I122" s="3" t="n">
        <v>14642.3</v>
      </c>
      <c r="J122" s="3" t="n">
        <v>3673.3</v>
      </c>
      <c r="K122" s="3" t="n">
        <v>8613.7</v>
      </c>
      <c r="L122" s="4" t="n">
        <v>47.04549054</v>
      </c>
      <c r="M122" s="3" t="n">
        <v>9695.6</v>
      </c>
      <c r="N122" s="4" t="n">
        <v>52.95450946</v>
      </c>
    </row>
    <row r="123" customFormat="false" ht="15" hidden="false" customHeight="false" outlineLevel="0" collapsed="false">
      <c r="A123" s="2" t="s">
        <v>180</v>
      </c>
      <c r="B123" s="2" t="s">
        <v>15</v>
      </c>
      <c r="C123" s="2" t="s">
        <v>22</v>
      </c>
      <c r="D123" s="2" t="s">
        <v>17</v>
      </c>
      <c r="E123" s="2" t="s">
        <v>23</v>
      </c>
      <c r="F123" s="2" t="s">
        <v>19</v>
      </c>
      <c r="G123" s="2" t="n">
        <v>2002</v>
      </c>
      <c r="H123" s="3" t="n">
        <v>18270.8</v>
      </c>
      <c r="I123" s="3" t="n">
        <v>13165.8</v>
      </c>
      <c r="J123" s="3" t="n">
        <v>5114.9</v>
      </c>
      <c r="K123" s="3" t="n">
        <v>8899.2</v>
      </c>
      <c r="L123" s="4" t="n">
        <v>48.70722683</v>
      </c>
      <c r="M123" s="3" t="n">
        <v>9371.6</v>
      </c>
      <c r="N123" s="4" t="n">
        <v>51.29277317</v>
      </c>
    </row>
    <row r="124" customFormat="false" ht="15" hidden="false" customHeight="false" outlineLevel="0" collapsed="false">
      <c r="A124" s="2" t="s">
        <v>181</v>
      </c>
      <c r="B124" s="2" t="s">
        <v>15</v>
      </c>
      <c r="C124" s="2" t="s">
        <v>182</v>
      </c>
      <c r="D124" s="2" t="s">
        <v>17</v>
      </c>
      <c r="E124" s="2" t="s">
        <v>61</v>
      </c>
      <c r="F124" s="2" t="s">
        <v>19</v>
      </c>
      <c r="G124" s="2" t="n">
        <v>1994</v>
      </c>
      <c r="H124" s="3" t="n">
        <v>18217.1</v>
      </c>
      <c r="I124" s="3" t="n">
        <v>13653.1</v>
      </c>
      <c r="J124" s="3" t="n">
        <v>4569.1</v>
      </c>
      <c r="K124" s="3" t="n">
        <v>3490.5</v>
      </c>
      <c r="L124" s="4" t="n">
        <v>19.16056892</v>
      </c>
      <c r="M124" s="3" t="n">
        <v>14726.6</v>
      </c>
      <c r="N124" s="4" t="n">
        <v>80.83943108</v>
      </c>
    </row>
    <row r="125" customFormat="false" ht="15" hidden="false" customHeight="false" outlineLevel="0" collapsed="false">
      <c r="A125" s="2" t="s">
        <v>183</v>
      </c>
      <c r="B125" s="2" t="s">
        <v>15</v>
      </c>
      <c r="C125" s="2" t="s">
        <v>184</v>
      </c>
      <c r="D125" s="2" t="s">
        <v>17</v>
      </c>
      <c r="E125" s="2" t="s">
        <v>185</v>
      </c>
      <c r="F125" s="2" t="s">
        <v>19</v>
      </c>
      <c r="G125" s="2" t="n">
        <v>1996</v>
      </c>
      <c r="H125" s="3" t="n">
        <v>18203.3</v>
      </c>
      <c r="I125" s="3" t="n">
        <v>9674.9</v>
      </c>
      <c r="J125" s="3" t="n">
        <v>8539.4</v>
      </c>
      <c r="K125" s="3" t="n">
        <v>4460.6</v>
      </c>
      <c r="L125" s="4" t="n">
        <v>24.50434811</v>
      </c>
      <c r="M125" s="3" t="n">
        <v>13742.7</v>
      </c>
      <c r="N125" s="4" t="n">
        <v>75.49565189</v>
      </c>
    </row>
    <row r="126" customFormat="false" ht="15" hidden="false" customHeight="false" outlineLevel="0" collapsed="false">
      <c r="A126" s="2" t="s">
        <v>186</v>
      </c>
      <c r="B126" s="2" t="s">
        <v>15</v>
      </c>
      <c r="C126" s="2" t="s">
        <v>22</v>
      </c>
      <c r="D126" s="2" t="s">
        <v>17</v>
      </c>
      <c r="E126" s="2" t="s">
        <v>18</v>
      </c>
      <c r="F126" s="2" t="s">
        <v>19</v>
      </c>
      <c r="G126" s="2" t="n">
        <v>2008</v>
      </c>
      <c r="H126" s="3" t="n">
        <v>18064.3</v>
      </c>
      <c r="I126" s="3" t="n">
        <v>7403</v>
      </c>
      <c r="J126" s="3" t="n">
        <v>10664.8</v>
      </c>
      <c r="K126" s="3" t="n">
        <v>2757.4</v>
      </c>
      <c r="L126" s="4" t="n">
        <v>15.2643612</v>
      </c>
      <c r="M126" s="3" t="n">
        <v>15306.9</v>
      </c>
      <c r="N126" s="4" t="n">
        <v>84.7356388</v>
      </c>
    </row>
    <row r="127" customFormat="false" ht="15" hidden="false" customHeight="false" outlineLevel="0" collapsed="false">
      <c r="A127" s="2" t="s">
        <v>187</v>
      </c>
      <c r="B127" s="2" t="s">
        <v>21</v>
      </c>
      <c r="C127" s="2" t="s">
        <v>43</v>
      </c>
      <c r="D127" s="2" t="s">
        <v>17</v>
      </c>
      <c r="E127" s="2" t="s">
        <v>28</v>
      </c>
      <c r="F127" s="2" t="s">
        <v>19</v>
      </c>
      <c r="G127" s="2" t="n">
        <v>2012</v>
      </c>
      <c r="H127" s="3" t="n">
        <v>18005.3</v>
      </c>
      <c r="I127" s="3" t="n">
        <v>10367</v>
      </c>
      <c r="J127" s="3" t="n">
        <v>7646.6</v>
      </c>
      <c r="K127" s="3" t="n">
        <v>7259.1</v>
      </c>
      <c r="L127" s="4" t="n">
        <v>40.31646237</v>
      </c>
      <c r="M127" s="3" t="n">
        <v>10746.2</v>
      </c>
      <c r="N127" s="4" t="n">
        <v>59.68353763</v>
      </c>
    </row>
    <row r="128" customFormat="false" ht="15" hidden="false" customHeight="false" outlineLevel="0" collapsed="false">
      <c r="A128" s="2" t="s">
        <v>188</v>
      </c>
      <c r="B128" s="2" t="s">
        <v>15</v>
      </c>
      <c r="C128" s="2" t="s">
        <v>22</v>
      </c>
      <c r="D128" s="2" t="s">
        <v>17</v>
      </c>
      <c r="E128" s="2" t="s">
        <v>18</v>
      </c>
      <c r="F128" s="2" t="s">
        <v>19</v>
      </c>
      <c r="G128" s="2" t="n">
        <v>2009</v>
      </c>
      <c r="H128" s="3" t="n">
        <v>17738.8</v>
      </c>
      <c r="I128" s="3" t="n">
        <v>11748.1</v>
      </c>
      <c r="J128" s="3" t="n">
        <v>5997.1</v>
      </c>
      <c r="K128" s="3" t="n">
        <v>7693.4</v>
      </c>
      <c r="L128" s="4" t="n">
        <v>43.37046474</v>
      </c>
      <c r="M128" s="3" t="n">
        <v>10045.4</v>
      </c>
      <c r="N128" s="4" t="n">
        <v>56.62953526</v>
      </c>
    </row>
    <row r="129" customFormat="false" ht="15" hidden="false" customHeight="false" outlineLevel="0" collapsed="false">
      <c r="A129" s="2" t="s">
        <v>189</v>
      </c>
      <c r="B129" s="2" t="s">
        <v>15</v>
      </c>
      <c r="C129" s="2" t="s">
        <v>22</v>
      </c>
      <c r="D129" s="2" t="s">
        <v>17</v>
      </c>
      <c r="E129" s="2" t="s">
        <v>23</v>
      </c>
      <c r="F129" s="2" t="s">
        <v>19</v>
      </c>
      <c r="G129" s="2" t="n">
        <v>2009</v>
      </c>
      <c r="H129" s="3" t="n">
        <v>17720.2</v>
      </c>
      <c r="I129" s="3" t="n">
        <v>13610.1</v>
      </c>
      <c r="J129" s="3" t="n">
        <v>4116.2</v>
      </c>
      <c r="K129" s="3" t="n">
        <v>8342.7</v>
      </c>
      <c r="L129" s="4" t="n">
        <v>47.0801684</v>
      </c>
      <c r="M129" s="3" t="n">
        <v>9377.5</v>
      </c>
      <c r="N129" s="4" t="n">
        <v>52.9198316</v>
      </c>
    </row>
    <row r="130" customFormat="false" ht="15" hidden="false" customHeight="false" outlineLevel="0" collapsed="false">
      <c r="A130" s="2" t="s">
        <v>190</v>
      </c>
      <c r="B130" s="2" t="s">
        <v>21</v>
      </c>
      <c r="C130" s="2" t="s">
        <v>46</v>
      </c>
      <c r="D130" s="2" t="s">
        <v>47</v>
      </c>
      <c r="E130" s="2" t="s">
        <v>48</v>
      </c>
      <c r="F130" s="2" t="s">
        <v>49</v>
      </c>
      <c r="G130" s="2" t="n">
        <v>2016</v>
      </c>
      <c r="H130" s="3" t="n">
        <v>17517.4</v>
      </c>
      <c r="I130" s="3" t="n">
        <v>7595.2</v>
      </c>
      <c r="J130" s="3" t="n">
        <v>9927.8</v>
      </c>
      <c r="K130" s="3" t="n">
        <v>15415.4</v>
      </c>
      <c r="L130" s="4" t="n">
        <v>88.00050236</v>
      </c>
      <c r="M130" s="3" t="n">
        <v>2102</v>
      </c>
      <c r="N130" s="4" t="n">
        <v>11.99949764</v>
      </c>
    </row>
    <row r="131" customFormat="false" ht="15" hidden="false" customHeight="false" outlineLevel="0" collapsed="false">
      <c r="A131" s="2" t="s">
        <v>191</v>
      </c>
      <c r="B131" s="2" t="s">
        <v>15</v>
      </c>
      <c r="C131" s="2" t="s">
        <v>22</v>
      </c>
      <c r="D131" s="2" t="s">
        <v>25</v>
      </c>
      <c r="E131" s="2" t="s">
        <v>26</v>
      </c>
      <c r="F131" s="2" t="s">
        <v>19</v>
      </c>
      <c r="G131" s="2" t="n">
        <v>2017</v>
      </c>
      <c r="H131" s="3" t="n">
        <v>17516.1</v>
      </c>
      <c r="I131" s="3" t="n">
        <v>16311.4</v>
      </c>
      <c r="J131" s="3" t="n">
        <v>1210.7</v>
      </c>
      <c r="K131" s="3" t="n">
        <v>2137.8</v>
      </c>
      <c r="L131" s="4" t="n">
        <v>12.20477161</v>
      </c>
      <c r="M131" s="3" t="n">
        <v>15378.3</v>
      </c>
      <c r="N131" s="4" t="n">
        <v>87.79522839</v>
      </c>
    </row>
    <row r="132" customFormat="false" ht="15" hidden="false" customHeight="false" outlineLevel="0" collapsed="false">
      <c r="A132" s="2" t="s">
        <v>192</v>
      </c>
      <c r="B132" s="2" t="s">
        <v>21</v>
      </c>
      <c r="C132" s="2" t="s">
        <v>22</v>
      </c>
      <c r="D132" s="2" t="s">
        <v>17</v>
      </c>
      <c r="E132" s="2" t="s">
        <v>23</v>
      </c>
      <c r="F132" s="2" t="s">
        <v>19</v>
      </c>
      <c r="G132" s="2" t="n">
        <v>2014</v>
      </c>
      <c r="H132" s="3" t="n">
        <v>17440.2</v>
      </c>
      <c r="I132" s="3" t="n">
        <v>5933.3</v>
      </c>
      <c r="J132" s="3" t="n">
        <v>11512.1</v>
      </c>
      <c r="K132" s="3" t="n">
        <v>2784</v>
      </c>
      <c r="L132" s="4" t="n">
        <v>15.96311969</v>
      </c>
      <c r="M132" s="3" t="n">
        <v>14656.2</v>
      </c>
      <c r="N132" s="4" t="n">
        <v>84.03688031</v>
      </c>
    </row>
    <row r="133" customFormat="false" ht="15" hidden="false" customHeight="false" outlineLevel="0" collapsed="false">
      <c r="A133" s="2" t="s">
        <v>193</v>
      </c>
      <c r="B133" s="2" t="s">
        <v>15</v>
      </c>
      <c r="C133" s="2" t="s">
        <v>60</v>
      </c>
      <c r="D133" s="2" t="s">
        <v>17</v>
      </c>
      <c r="E133" s="2" t="s">
        <v>61</v>
      </c>
      <c r="F133" s="2" t="s">
        <v>49</v>
      </c>
      <c r="G133" s="2" t="n">
        <v>1994</v>
      </c>
      <c r="H133" s="3" t="n">
        <v>17316.6</v>
      </c>
      <c r="I133" s="3" t="n">
        <v>10309.7</v>
      </c>
      <c r="J133" s="3" t="n">
        <v>7013.9</v>
      </c>
      <c r="K133" s="3" t="n">
        <v>6283</v>
      </c>
      <c r="L133" s="4" t="n">
        <v>36.28310407</v>
      </c>
      <c r="M133" s="3" t="n">
        <v>11033.6</v>
      </c>
      <c r="N133" s="4" t="n">
        <v>63.71689593</v>
      </c>
    </row>
    <row r="134" customFormat="false" ht="15" hidden="false" customHeight="false" outlineLevel="0" collapsed="false">
      <c r="A134" s="2" t="s">
        <v>194</v>
      </c>
      <c r="B134" s="2" t="s">
        <v>15</v>
      </c>
      <c r="C134" s="2" t="s">
        <v>90</v>
      </c>
      <c r="D134" s="2" t="s">
        <v>25</v>
      </c>
      <c r="E134" s="2" t="s">
        <v>83</v>
      </c>
      <c r="F134" s="2" t="s">
        <v>19</v>
      </c>
      <c r="G134" s="2" t="n">
        <v>1982</v>
      </c>
      <c r="H134" s="3" t="n">
        <v>17314.1</v>
      </c>
      <c r="I134" s="3" t="n">
        <v>17301.5</v>
      </c>
      <c r="J134" s="3" t="n">
        <v>20</v>
      </c>
      <c r="K134" s="3" t="n">
        <v>17281</v>
      </c>
      <c r="L134" s="4" t="n">
        <v>99.80882633</v>
      </c>
      <c r="M134" s="3" t="n">
        <v>33.1</v>
      </c>
      <c r="N134" s="4" t="n">
        <v>0.1911736677</v>
      </c>
    </row>
    <row r="135" customFormat="false" ht="15" hidden="false" customHeight="false" outlineLevel="0" collapsed="false">
      <c r="A135" s="2" t="s">
        <v>195</v>
      </c>
      <c r="B135" s="2" t="s">
        <v>21</v>
      </c>
      <c r="C135" s="2" t="s">
        <v>22</v>
      </c>
      <c r="D135" s="2" t="s">
        <v>17</v>
      </c>
      <c r="E135" s="2" t="s">
        <v>23</v>
      </c>
      <c r="F135" s="2" t="s">
        <v>19</v>
      </c>
      <c r="G135" s="2" t="n">
        <v>2008</v>
      </c>
      <c r="H135" s="3" t="n">
        <v>17119.5</v>
      </c>
      <c r="I135" s="3" t="n">
        <v>11625.6</v>
      </c>
      <c r="J135" s="3" t="n">
        <v>5498.6</v>
      </c>
      <c r="K135" s="3" t="n">
        <v>10006</v>
      </c>
      <c r="L135" s="4" t="n">
        <v>58.44796869</v>
      </c>
      <c r="M135" s="3" t="n">
        <v>7113.5</v>
      </c>
      <c r="N135" s="4" t="n">
        <v>41.55203131</v>
      </c>
    </row>
    <row r="136" customFormat="false" ht="15" hidden="false" customHeight="false" outlineLevel="0" collapsed="false">
      <c r="A136" s="2" t="s">
        <v>196</v>
      </c>
      <c r="B136" s="2" t="s">
        <v>15</v>
      </c>
      <c r="C136" s="2" t="s">
        <v>197</v>
      </c>
      <c r="D136" s="2" t="s">
        <v>17</v>
      </c>
      <c r="E136" s="2" t="s">
        <v>28</v>
      </c>
      <c r="F136" s="2" t="s">
        <v>19</v>
      </c>
      <c r="G136" s="2" t="n">
        <v>2004</v>
      </c>
      <c r="H136" s="3" t="n">
        <v>17056</v>
      </c>
      <c r="I136" s="3" t="n">
        <v>8007.4</v>
      </c>
      <c r="J136" s="3" t="n">
        <v>9059.5</v>
      </c>
      <c r="K136" s="3" t="n">
        <v>4403.1</v>
      </c>
      <c r="L136" s="4" t="n">
        <v>25.81554878</v>
      </c>
      <c r="M136" s="3" t="n">
        <v>12652.9</v>
      </c>
      <c r="N136" s="4" t="n">
        <v>74.18445122</v>
      </c>
    </row>
    <row r="137" customFormat="false" ht="15" hidden="false" customHeight="false" outlineLevel="0" collapsed="false">
      <c r="A137" s="2" t="s">
        <v>198</v>
      </c>
      <c r="B137" s="2" t="s">
        <v>15</v>
      </c>
      <c r="C137" s="2" t="s">
        <v>95</v>
      </c>
      <c r="D137" s="2" t="s">
        <v>17</v>
      </c>
      <c r="E137" s="2" t="s">
        <v>52</v>
      </c>
      <c r="F137" s="2" t="s">
        <v>49</v>
      </c>
      <c r="G137" s="2" t="n">
        <v>1975</v>
      </c>
      <c r="H137" s="3" t="n">
        <v>17010.5</v>
      </c>
      <c r="I137" s="3" t="n">
        <v>17018</v>
      </c>
      <c r="J137" s="3" t="n">
        <v>0</v>
      </c>
      <c r="K137" s="3" t="n">
        <v>17010.5</v>
      </c>
      <c r="L137" s="4" t="n">
        <v>100</v>
      </c>
      <c r="M137" s="3" t="n">
        <v>0</v>
      </c>
      <c r="N137" s="4" t="n">
        <v>0</v>
      </c>
    </row>
    <row r="138" customFormat="false" ht="15" hidden="false" customHeight="false" outlineLevel="0" collapsed="false">
      <c r="A138" s="2" t="s">
        <v>199</v>
      </c>
      <c r="B138" s="2" t="s">
        <v>15</v>
      </c>
      <c r="C138" s="2" t="s">
        <v>43</v>
      </c>
      <c r="D138" s="2" t="s">
        <v>25</v>
      </c>
      <c r="E138" s="2" t="s">
        <v>83</v>
      </c>
      <c r="F138" s="2" t="s">
        <v>19</v>
      </c>
      <c r="G138" s="2" t="n">
        <v>2013</v>
      </c>
      <c r="H138" s="3" t="n">
        <v>16984.3</v>
      </c>
      <c r="I138" s="3" t="n">
        <v>10969.8</v>
      </c>
      <c r="J138" s="3" t="n">
        <v>6018.9</v>
      </c>
      <c r="K138" s="3" t="n">
        <v>4419.3</v>
      </c>
      <c r="L138" s="4" t="n">
        <v>26.01991251</v>
      </c>
      <c r="M138" s="3" t="n">
        <v>12565</v>
      </c>
      <c r="N138" s="4" t="n">
        <v>73.98008749</v>
      </c>
    </row>
    <row r="139" customFormat="false" ht="15" hidden="false" customHeight="false" outlineLevel="0" collapsed="false">
      <c r="A139" s="2" t="s">
        <v>200</v>
      </c>
      <c r="B139" s="2" t="s">
        <v>15</v>
      </c>
      <c r="C139" s="2" t="s">
        <v>90</v>
      </c>
      <c r="D139" s="2" t="s">
        <v>25</v>
      </c>
      <c r="E139" s="2" t="s">
        <v>91</v>
      </c>
      <c r="F139" s="2" t="s">
        <v>19</v>
      </c>
      <c r="G139" s="2" t="n">
        <v>2010</v>
      </c>
      <c r="H139" s="3" t="n">
        <v>16969.4</v>
      </c>
      <c r="I139" s="3" t="n">
        <v>10480.8</v>
      </c>
      <c r="J139" s="3" t="n">
        <v>6497.7</v>
      </c>
      <c r="K139" s="3" t="n">
        <v>7429.1</v>
      </c>
      <c r="L139" s="4" t="n">
        <v>43.77939114</v>
      </c>
      <c r="M139" s="3" t="n">
        <v>9540.3</v>
      </c>
      <c r="N139" s="4" t="n">
        <v>56.22060886</v>
      </c>
    </row>
    <row r="140" customFormat="false" ht="15" hidden="false" customHeight="false" outlineLevel="0" collapsed="false">
      <c r="A140" s="2" t="s">
        <v>201</v>
      </c>
      <c r="B140" s="2" t="s">
        <v>15</v>
      </c>
      <c r="C140" s="2" t="s">
        <v>161</v>
      </c>
      <c r="D140" s="2" t="s">
        <v>17</v>
      </c>
      <c r="E140" s="2" t="s">
        <v>61</v>
      </c>
      <c r="F140" s="2" t="s">
        <v>19</v>
      </c>
      <c r="G140" s="2" t="n">
        <v>2014</v>
      </c>
      <c r="H140" s="3" t="n">
        <v>16893.4</v>
      </c>
      <c r="I140" s="3" t="n">
        <v>13879.3</v>
      </c>
      <c r="J140" s="3" t="n">
        <v>3019.1</v>
      </c>
      <c r="K140" s="3" t="n">
        <v>5321.5</v>
      </c>
      <c r="L140" s="4" t="n">
        <v>31.50046764</v>
      </c>
      <c r="M140" s="3" t="n">
        <v>11571.9</v>
      </c>
      <c r="N140" s="4" t="n">
        <v>68.49953236</v>
      </c>
    </row>
    <row r="141" customFormat="false" ht="15" hidden="false" customHeight="false" outlineLevel="0" collapsed="false">
      <c r="A141" s="2" t="s">
        <v>202</v>
      </c>
      <c r="B141" s="2" t="s">
        <v>15</v>
      </c>
      <c r="C141" s="2" t="s">
        <v>22</v>
      </c>
      <c r="D141" s="2" t="s">
        <v>17</v>
      </c>
      <c r="E141" s="2" t="s">
        <v>18</v>
      </c>
      <c r="F141" s="2" t="s">
        <v>19</v>
      </c>
      <c r="G141" s="2" t="n">
        <v>2016</v>
      </c>
      <c r="H141" s="3" t="n">
        <v>16877.3</v>
      </c>
      <c r="I141" s="3" t="n">
        <v>11425.9</v>
      </c>
      <c r="J141" s="3" t="n">
        <v>5455.1</v>
      </c>
      <c r="K141" s="3" t="n">
        <v>6395.3</v>
      </c>
      <c r="L141" s="4" t="n">
        <v>37.89290941</v>
      </c>
      <c r="M141" s="3" t="n">
        <v>10482</v>
      </c>
      <c r="N141" s="4" t="n">
        <v>62.10709059</v>
      </c>
    </row>
    <row r="142" customFormat="false" ht="15" hidden="false" customHeight="false" outlineLevel="0" collapsed="false">
      <c r="A142" s="2" t="s">
        <v>203</v>
      </c>
      <c r="B142" s="2" t="s">
        <v>79</v>
      </c>
      <c r="C142" s="2" t="s">
        <v>34</v>
      </c>
      <c r="D142" s="2" t="s">
        <v>17</v>
      </c>
      <c r="E142" s="2" t="s">
        <v>52</v>
      </c>
      <c r="F142" s="2" t="s">
        <v>49</v>
      </c>
      <c r="G142" s="2" t="n">
        <v>1967</v>
      </c>
      <c r="H142" s="3" t="n">
        <v>16577.5</v>
      </c>
      <c r="I142" s="3" t="n">
        <v>16577.5</v>
      </c>
      <c r="J142" s="3" t="n">
        <v>0.4</v>
      </c>
      <c r="K142" s="3" t="n">
        <v>16567.4</v>
      </c>
      <c r="L142" s="4" t="n">
        <v>99.93907405</v>
      </c>
      <c r="M142" s="3" t="n">
        <v>10.1</v>
      </c>
      <c r="N142" s="4" t="n">
        <v>0.06092595385</v>
      </c>
    </row>
    <row r="143" customFormat="false" ht="15" hidden="false" customHeight="false" outlineLevel="0" collapsed="false">
      <c r="A143" s="2" t="s">
        <v>204</v>
      </c>
      <c r="B143" s="2" t="s">
        <v>15</v>
      </c>
      <c r="C143" s="2" t="s">
        <v>205</v>
      </c>
      <c r="D143" s="2" t="s">
        <v>17</v>
      </c>
      <c r="E143" s="2" t="s">
        <v>52</v>
      </c>
      <c r="F143" s="2" t="s">
        <v>19</v>
      </c>
      <c r="G143" s="2" t="n">
        <v>2013</v>
      </c>
      <c r="H143" s="3" t="n">
        <v>16556.5</v>
      </c>
      <c r="I143" s="3" t="n">
        <v>15920.4</v>
      </c>
      <c r="J143" s="3" t="n">
        <v>641.8</v>
      </c>
      <c r="K143" s="3" t="n">
        <v>15519.5</v>
      </c>
      <c r="L143" s="4" t="n">
        <v>93.73659892</v>
      </c>
      <c r="M143" s="3" t="n">
        <v>1037</v>
      </c>
      <c r="N143" s="4" t="n">
        <v>6.263401081</v>
      </c>
    </row>
    <row r="144" customFormat="false" ht="15" hidden="false" customHeight="false" outlineLevel="0" collapsed="false">
      <c r="A144" s="2" t="s">
        <v>206</v>
      </c>
      <c r="B144" s="2" t="s">
        <v>21</v>
      </c>
      <c r="C144" s="2" t="s">
        <v>34</v>
      </c>
      <c r="D144" s="2" t="s">
        <v>17</v>
      </c>
      <c r="E144" s="2" t="s">
        <v>23</v>
      </c>
      <c r="F144" s="2" t="s">
        <v>19</v>
      </c>
      <c r="G144" s="2" t="n">
        <v>2009</v>
      </c>
      <c r="H144" s="3" t="n">
        <v>16553.3</v>
      </c>
      <c r="I144" s="3" t="n">
        <v>11362.1</v>
      </c>
      <c r="J144" s="3" t="n">
        <v>5197.6</v>
      </c>
      <c r="K144" s="3" t="n">
        <v>8685.9</v>
      </c>
      <c r="L144" s="4" t="n">
        <v>52.4723167</v>
      </c>
      <c r="M144" s="3" t="n">
        <v>7867.4</v>
      </c>
      <c r="N144" s="4" t="n">
        <v>47.5276833</v>
      </c>
    </row>
    <row r="145" customFormat="false" ht="15" hidden="false" customHeight="false" outlineLevel="0" collapsed="false">
      <c r="A145" s="2" t="s">
        <v>207</v>
      </c>
      <c r="B145" s="2" t="s">
        <v>15</v>
      </c>
      <c r="C145" s="2" t="s">
        <v>34</v>
      </c>
      <c r="D145" s="2" t="s">
        <v>17</v>
      </c>
      <c r="E145" s="2" t="s">
        <v>52</v>
      </c>
      <c r="F145" s="2" t="s">
        <v>49</v>
      </c>
      <c r="G145" s="2" t="n">
        <v>1992</v>
      </c>
      <c r="H145" s="3" t="n">
        <v>16454.9</v>
      </c>
      <c r="I145" s="3" t="n">
        <v>16461.5</v>
      </c>
      <c r="J145" s="3" t="n">
        <v>3</v>
      </c>
      <c r="K145" s="3" t="n">
        <v>16382.5</v>
      </c>
      <c r="L145" s="4" t="n">
        <v>99.56000948</v>
      </c>
      <c r="M145" s="3" t="n">
        <v>72.4</v>
      </c>
      <c r="N145" s="4" t="n">
        <v>0.4399905195</v>
      </c>
    </row>
    <row r="146" customFormat="false" ht="15" hidden="false" customHeight="false" outlineLevel="0" collapsed="false">
      <c r="A146" s="2" t="s">
        <v>208</v>
      </c>
      <c r="B146" s="2" t="s">
        <v>15</v>
      </c>
      <c r="C146" s="2" t="s">
        <v>22</v>
      </c>
      <c r="D146" s="2" t="s">
        <v>17</v>
      </c>
      <c r="E146" s="2" t="s">
        <v>18</v>
      </c>
      <c r="F146" s="2" t="s">
        <v>19</v>
      </c>
      <c r="G146" s="2" t="n">
        <v>2007</v>
      </c>
      <c r="H146" s="3" t="n">
        <v>16428.9</v>
      </c>
      <c r="I146" s="3" t="n">
        <v>12009.4</v>
      </c>
      <c r="J146" s="3" t="n">
        <v>4364.5</v>
      </c>
      <c r="K146" s="3" t="n">
        <v>2139</v>
      </c>
      <c r="L146" s="4" t="n">
        <v>13.01973961</v>
      </c>
      <c r="M146" s="3" t="n">
        <v>14289.9</v>
      </c>
      <c r="N146" s="4" t="n">
        <v>86.98026039</v>
      </c>
    </row>
    <row r="147" customFormat="false" ht="15" hidden="false" customHeight="false" outlineLevel="0" collapsed="false">
      <c r="A147" s="2" t="s">
        <v>209</v>
      </c>
      <c r="B147" s="2" t="s">
        <v>15</v>
      </c>
      <c r="C147" s="2" t="s">
        <v>22</v>
      </c>
      <c r="D147" s="2" t="s">
        <v>17</v>
      </c>
      <c r="E147" s="2" t="s">
        <v>18</v>
      </c>
      <c r="F147" s="2" t="s">
        <v>19</v>
      </c>
      <c r="G147" s="2" t="n">
        <v>2007</v>
      </c>
      <c r="H147" s="3" t="n">
        <v>16366.1</v>
      </c>
      <c r="I147" s="3" t="n">
        <v>14784.2</v>
      </c>
      <c r="J147" s="3" t="n">
        <v>1492.7</v>
      </c>
      <c r="K147" s="3" t="n">
        <v>4359.8</v>
      </c>
      <c r="L147" s="4" t="n">
        <v>26.63921154</v>
      </c>
      <c r="M147" s="3" t="n">
        <v>12006.3</v>
      </c>
      <c r="N147" s="4" t="n">
        <v>73.36078846</v>
      </c>
    </row>
    <row r="148" customFormat="false" ht="15" hidden="false" customHeight="false" outlineLevel="0" collapsed="false">
      <c r="A148" s="2" t="s">
        <v>210</v>
      </c>
      <c r="B148" s="2" t="s">
        <v>21</v>
      </c>
      <c r="C148" s="2" t="s">
        <v>22</v>
      </c>
      <c r="D148" s="2" t="s">
        <v>17</v>
      </c>
      <c r="E148" s="2" t="s">
        <v>23</v>
      </c>
      <c r="F148" s="2" t="s">
        <v>19</v>
      </c>
      <c r="G148" s="2" t="n">
        <v>2000</v>
      </c>
      <c r="H148" s="3" t="n">
        <v>16271.6</v>
      </c>
      <c r="I148" s="3" t="n">
        <v>7125.4</v>
      </c>
      <c r="J148" s="3" t="n">
        <v>9125</v>
      </c>
      <c r="K148" s="3" t="n">
        <v>11023</v>
      </c>
      <c r="L148" s="4" t="n">
        <v>67.74379901</v>
      </c>
      <c r="M148" s="3" t="n">
        <v>5248.6</v>
      </c>
      <c r="N148" s="4" t="n">
        <v>32.25620099</v>
      </c>
    </row>
    <row r="149" customFormat="false" ht="15" hidden="false" customHeight="false" outlineLevel="0" collapsed="false">
      <c r="A149" s="2" t="s">
        <v>211</v>
      </c>
      <c r="B149" s="2" t="s">
        <v>15</v>
      </c>
      <c r="C149" s="2" t="s">
        <v>22</v>
      </c>
      <c r="D149" s="2" t="s">
        <v>17</v>
      </c>
      <c r="E149" s="2" t="s">
        <v>52</v>
      </c>
      <c r="F149" s="2" t="s">
        <v>49</v>
      </c>
      <c r="G149" s="2" t="n">
        <v>1989</v>
      </c>
      <c r="H149" s="3" t="n">
        <v>16228.7</v>
      </c>
      <c r="I149" s="3" t="n">
        <v>16236</v>
      </c>
      <c r="J149" s="3" t="n">
        <v>0</v>
      </c>
      <c r="K149" s="3" t="n">
        <v>16228.7</v>
      </c>
      <c r="L149" s="4" t="n">
        <v>100</v>
      </c>
      <c r="M149" s="3" t="n">
        <v>0</v>
      </c>
      <c r="N149" s="4" t="n">
        <v>0</v>
      </c>
    </row>
    <row r="150" customFormat="false" ht="15" hidden="false" customHeight="false" outlineLevel="0" collapsed="false">
      <c r="A150" s="2" t="s">
        <v>212</v>
      </c>
      <c r="B150" s="2" t="s">
        <v>15</v>
      </c>
      <c r="C150" s="2" t="s">
        <v>22</v>
      </c>
      <c r="D150" s="2" t="s">
        <v>17</v>
      </c>
      <c r="E150" s="2" t="s">
        <v>18</v>
      </c>
      <c r="F150" s="2" t="s">
        <v>19</v>
      </c>
      <c r="G150" s="2" t="n">
        <v>2018</v>
      </c>
      <c r="H150" s="3" t="n">
        <v>16217.4</v>
      </c>
      <c r="I150" s="3" t="n">
        <v>14631.5</v>
      </c>
      <c r="J150" s="3" t="n">
        <v>1588.4</v>
      </c>
      <c r="K150" s="3" t="n">
        <v>7841.6</v>
      </c>
      <c r="L150" s="4" t="n">
        <v>48.35300356</v>
      </c>
      <c r="M150" s="3" t="n">
        <v>8375.8</v>
      </c>
      <c r="N150" s="4" t="n">
        <v>51.64699644</v>
      </c>
    </row>
    <row r="151" customFormat="false" ht="15" hidden="false" customHeight="false" outlineLevel="0" collapsed="false">
      <c r="A151" s="2" t="s">
        <v>213</v>
      </c>
      <c r="B151" s="2" t="s">
        <v>21</v>
      </c>
      <c r="C151" s="2" t="s">
        <v>22</v>
      </c>
      <c r="D151" s="2" t="s">
        <v>17</v>
      </c>
      <c r="E151" s="2" t="s">
        <v>23</v>
      </c>
      <c r="F151" s="2" t="s">
        <v>19</v>
      </c>
      <c r="G151" s="2" t="n">
        <v>1998</v>
      </c>
      <c r="H151" s="3" t="n">
        <v>16148.3</v>
      </c>
      <c r="I151" s="3" t="n">
        <v>14108.3</v>
      </c>
      <c r="J151" s="3" t="n">
        <v>2048.1</v>
      </c>
      <c r="K151" s="3" t="n">
        <v>13480.8</v>
      </c>
      <c r="L151" s="4" t="n">
        <v>83.48123332</v>
      </c>
      <c r="M151" s="3" t="n">
        <v>2667.5</v>
      </c>
      <c r="N151" s="4" t="n">
        <v>16.51876668</v>
      </c>
    </row>
    <row r="152" customFormat="false" ht="15" hidden="false" customHeight="false" outlineLevel="0" collapsed="false">
      <c r="A152" s="2" t="s">
        <v>214</v>
      </c>
      <c r="B152" s="2" t="s">
        <v>15</v>
      </c>
      <c r="C152" s="2" t="s">
        <v>34</v>
      </c>
      <c r="D152" s="2" t="s">
        <v>17</v>
      </c>
      <c r="E152" s="2" t="s">
        <v>23</v>
      </c>
      <c r="F152" s="2" t="s">
        <v>19</v>
      </c>
      <c r="G152" s="2" t="n">
        <v>2012</v>
      </c>
      <c r="H152" s="3" t="n">
        <v>16111.6</v>
      </c>
      <c r="I152" s="3" t="n">
        <v>14817.7</v>
      </c>
      <c r="J152" s="3" t="n">
        <v>1297.6</v>
      </c>
      <c r="K152" s="3" t="n">
        <v>12881.3</v>
      </c>
      <c r="L152" s="4" t="n">
        <v>79.95047047</v>
      </c>
      <c r="M152" s="3" t="n">
        <v>3230.3</v>
      </c>
      <c r="N152" s="4" t="n">
        <v>20.04952953</v>
      </c>
    </row>
    <row r="153" customFormat="false" ht="15" hidden="false" customHeight="false" outlineLevel="0" collapsed="false">
      <c r="A153" s="2" t="s">
        <v>215</v>
      </c>
      <c r="B153" s="2" t="s">
        <v>15</v>
      </c>
      <c r="C153" s="2" t="s">
        <v>16</v>
      </c>
      <c r="D153" s="2" t="s">
        <v>17</v>
      </c>
      <c r="E153" s="2" t="s">
        <v>18</v>
      </c>
      <c r="F153" s="2" t="s">
        <v>19</v>
      </c>
      <c r="G153" s="2" t="n">
        <v>2009</v>
      </c>
      <c r="H153" s="3" t="n">
        <v>16021.1</v>
      </c>
      <c r="I153" s="3" t="n">
        <v>11602.1</v>
      </c>
      <c r="J153" s="3" t="n">
        <v>4424.8</v>
      </c>
      <c r="K153" s="3" t="n">
        <v>8229.4</v>
      </c>
      <c r="L153" s="4" t="n">
        <v>51.36601107</v>
      </c>
      <c r="M153" s="3" t="n">
        <v>7791.7</v>
      </c>
      <c r="N153" s="4" t="n">
        <v>48.63398893</v>
      </c>
    </row>
    <row r="154" customFormat="false" ht="15" hidden="false" customHeight="false" outlineLevel="0" collapsed="false">
      <c r="A154" s="2" t="s">
        <v>216</v>
      </c>
      <c r="B154" s="2" t="s">
        <v>15</v>
      </c>
      <c r="C154" s="2" t="s">
        <v>22</v>
      </c>
      <c r="D154" s="2" t="s">
        <v>17</v>
      </c>
      <c r="E154" s="2" t="s">
        <v>18</v>
      </c>
      <c r="F154" s="2" t="s">
        <v>19</v>
      </c>
      <c r="G154" s="2" t="n">
        <v>2006</v>
      </c>
      <c r="H154" s="3" t="n">
        <v>15952.2</v>
      </c>
      <c r="I154" s="3" t="n">
        <v>4000.7</v>
      </c>
      <c r="J154" s="3" t="n">
        <v>11957.2</v>
      </c>
      <c r="K154" s="3" t="n">
        <v>2951.3</v>
      </c>
      <c r="L154" s="4" t="n">
        <v>18.50089643</v>
      </c>
      <c r="M154" s="3" t="n">
        <v>13000.9</v>
      </c>
      <c r="N154" s="4" t="n">
        <v>81.49910357</v>
      </c>
    </row>
    <row r="155" customFormat="false" ht="15" hidden="false" customHeight="false" outlineLevel="0" collapsed="false">
      <c r="A155" s="2" t="s">
        <v>217</v>
      </c>
      <c r="B155" s="2" t="s">
        <v>15</v>
      </c>
      <c r="C155" s="2" t="s">
        <v>60</v>
      </c>
      <c r="D155" s="2" t="s">
        <v>17</v>
      </c>
      <c r="E155" s="2" t="s">
        <v>61</v>
      </c>
      <c r="F155" s="2" t="s">
        <v>19</v>
      </c>
      <c r="G155" s="2" t="n">
        <v>2013</v>
      </c>
      <c r="H155" s="3" t="n">
        <v>15921.1</v>
      </c>
      <c r="I155" s="3" t="n">
        <v>12030.1</v>
      </c>
      <c r="J155" s="3" t="n">
        <v>3896.3</v>
      </c>
      <c r="K155" s="3" t="n">
        <v>527.5</v>
      </c>
      <c r="L155" s="4" t="n">
        <v>3.313213283</v>
      </c>
      <c r="M155" s="3" t="n">
        <v>15393.6</v>
      </c>
      <c r="N155" s="4" t="n">
        <v>96.68678672</v>
      </c>
    </row>
    <row r="156" customFormat="false" ht="15" hidden="false" customHeight="false" outlineLevel="0" collapsed="false">
      <c r="A156" s="2" t="s">
        <v>218</v>
      </c>
      <c r="B156" s="2" t="s">
        <v>15</v>
      </c>
      <c r="C156" s="2" t="s">
        <v>16</v>
      </c>
      <c r="D156" s="2" t="s">
        <v>17</v>
      </c>
      <c r="E156" s="2" t="s">
        <v>28</v>
      </c>
      <c r="F156" s="2" t="s">
        <v>19</v>
      </c>
      <c r="G156" s="2" t="n">
        <v>2014</v>
      </c>
      <c r="H156" s="3" t="n">
        <v>15876.2</v>
      </c>
      <c r="I156" s="3" t="n">
        <v>12905.1</v>
      </c>
      <c r="J156" s="3" t="n">
        <v>2982.4</v>
      </c>
      <c r="K156" s="3" t="n">
        <v>7353.2</v>
      </c>
      <c r="L156" s="4" t="n">
        <v>46.31586904</v>
      </c>
      <c r="M156" s="3" t="n">
        <v>8523</v>
      </c>
      <c r="N156" s="4" t="n">
        <v>53.68413096</v>
      </c>
    </row>
    <row r="157" customFormat="false" ht="15" hidden="false" customHeight="false" outlineLevel="0" collapsed="false">
      <c r="A157" s="2" t="s">
        <v>219</v>
      </c>
      <c r="B157" s="2" t="s">
        <v>79</v>
      </c>
      <c r="C157" s="2" t="s">
        <v>22</v>
      </c>
      <c r="D157" s="2" t="s">
        <v>17</v>
      </c>
      <c r="E157" s="2" t="s">
        <v>18</v>
      </c>
      <c r="F157" s="2" t="s">
        <v>49</v>
      </c>
      <c r="G157" s="2" t="n">
        <v>1998</v>
      </c>
      <c r="H157" s="3" t="n">
        <v>15775.7</v>
      </c>
      <c r="I157" s="3" t="n">
        <v>15257.4</v>
      </c>
      <c r="J157" s="3" t="n">
        <v>527.7</v>
      </c>
      <c r="K157" s="3" t="n">
        <v>11623</v>
      </c>
      <c r="L157" s="4" t="n">
        <v>73.67660389</v>
      </c>
      <c r="M157" s="3" t="n">
        <v>4152.7</v>
      </c>
      <c r="N157" s="4" t="n">
        <v>26.32339611</v>
      </c>
    </row>
    <row r="158" customFormat="false" ht="15" hidden="false" customHeight="false" outlineLevel="0" collapsed="false">
      <c r="A158" s="2" t="s">
        <v>220</v>
      </c>
      <c r="B158" s="2" t="s">
        <v>15</v>
      </c>
      <c r="C158" s="2" t="s">
        <v>22</v>
      </c>
      <c r="D158" s="2" t="s">
        <v>17</v>
      </c>
      <c r="E158" s="2" t="s">
        <v>18</v>
      </c>
      <c r="F158" s="2" t="s">
        <v>19</v>
      </c>
      <c r="G158" s="2" t="n">
        <v>2010</v>
      </c>
      <c r="H158" s="3" t="n">
        <v>15746</v>
      </c>
      <c r="I158" s="3" t="n">
        <v>502.4</v>
      </c>
      <c r="J158" s="3" t="n">
        <v>15243.6</v>
      </c>
      <c r="K158" s="3" t="n">
        <v>142.8</v>
      </c>
      <c r="L158" s="4" t="n">
        <v>0.9068969897</v>
      </c>
      <c r="M158" s="3" t="n">
        <v>15603.2</v>
      </c>
      <c r="N158" s="4" t="n">
        <v>99.09310301</v>
      </c>
    </row>
    <row r="159" customFormat="false" ht="15" hidden="false" customHeight="false" outlineLevel="0" collapsed="false">
      <c r="A159" s="2" t="s">
        <v>221</v>
      </c>
      <c r="B159" s="2" t="s">
        <v>21</v>
      </c>
      <c r="C159" s="2" t="s">
        <v>72</v>
      </c>
      <c r="D159" s="2" t="s">
        <v>73</v>
      </c>
      <c r="E159" s="2" t="s">
        <v>74</v>
      </c>
      <c r="F159" s="2" t="s">
        <v>19</v>
      </c>
      <c r="G159" s="2" t="n">
        <v>2002</v>
      </c>
      <c r="H159" s="3" t="n">
        <v>15723</v>
      </c>
      <c r="I159" s="3" t="n">
        <v>2035.3</v>
      </c>
      <c r="J159" s="3" t="n">
        <v>13703.9</v>
      </c>
      <c r="K159" s="3" t="n">
        <v>690.5</v>
      </c>
      <c r="L159" s="4" t="n">
        <v>4.391655536</v>
      </c>
      <c r="M159" s="3" t="n">
        <v>15032.5</v>
      </c>
      <c r="N159" s="4" t="n">
        <v>95.60834446</v>
      </c>
    </row>
    <row r="160" customFormat="false" ht="15" hidden="false" customHeight="false" outlineLevel="0" collapsed="false">
      <c r="A160" s="2" t="s">
        <v>222</v>
      </c>
      <c r="B160" s="2" t="s">
        <v>15</v>
      </c>
      <c r="C160" s="2" t="s">
        <v>223</v>
      </c>
      <c r="D160" s="2" t="s">
        <v>25</v>
      </c>
      <c r="E160" s="2" t="s">
        <v>18</v>
      </c>
      <c r="F160" s="2" t="s">
        <v>19</v>
      </c>
      <c r="G160" s="2" t="n">
        <v>2016</v>
      </c>
      <c r="H160" s="3" t="n">
        <v>15684.7</v>
      </c>
      <c r="I160" s="3" t="n">
        <v>7885.7</v>
      </c>
      <c r="J160" s="3" t="n">
        <v>7799</v>
      </c>
      <c r="K160" s="3" t="n">
        <v>3430.6</v>
      </c>
      <c r="L160" s="4" t="n">
        <v>21.87227043</v>
      </c>
      <c r="M160" s="3" t="n">
        <v>12254.1</v>
      </c>
      <c r="N160" s="4" t="n">
        <v>78.12772957</v>
      </c>
    </row>
    <row r="161" customFormat="false" ht="15" hidden="false" customHeight="false" outlineLevel="0" collapsed="false">
      <c r="A161" s="2" t="s">
        <v>224</v>
      </c>
      <c r="B161" s="2" t="s">
        <v>15</v>
      </c>
      <c r="C161" s="2" t="s">
        <v>223</v>
      </c>
      <c r="D161" s="2" t="s">
        <v>25</v>
      </c>
      <c r="E161" s="2" t="s">
        <v>83</v>
      </c>
      <c r="F161" s="2" t="s">
        <v>19</v>
      </c>
      <c r="G161" s="2" t="n">
        <v>2017</v>
      </c>
      <c r="H161" s="3" t="n">
        <v>15638.8</v>
      </c>
      <c r="I161" s="3" t="n">
        <v>13216.1</v>
      </c>
      <c r="J161" s="3" t="n">
        <v>2427.2</v>
      </c>
      <c r="K161" s="3" t="n">
        <v>84.5</v>
      </c>
      <c r="L161" s="4" t="n">
        <v>0.5403227869</v>
      </c>
      <c r="M161" s="3" t="n">
        <v>15554.3</v>
      </c>
      <c r="N161" s="4" t="n">
        <v>99.45967721</v>
      </c>
    </row>
    <row r="162" customFormat="false" ht="15" hidden="false" customHeight="false" outlineLevel="0" collapsed="false">
      <c r="A162" s="2" t="s">
        <v>225</v>
      </c>
      <c r="B162" s="2" t="s">
        <v>15</v>
      </c>
      <c r="C162" s="2" t="s">
        <v>22</v>
      </c>
      <c r="D162" s="2" t="s">
        <v>17</v>
      </c>
      <c r="E162" s="2" t="s">
        <v>18</v>
      </c>
      <c r="F162" s="2" t="s">
        <v>49</v>
      </c>
      <c r="G162" s="2" t="n">
        <v>2013</v>
      </c>
      <c r="H162" s="3" t="n">
        <v>15562.1</v>
      </c>
      <c r="I162" s="3" t="n">
        <v>13694</v>
      </c>
      <c r="J162" s="3" t="n">
        <v>1874.1</v>
      </c>
      <c r="K162" s="3" t="n">
        <v>4814.9</v>
      </c>
      <c r="L162" s="4" t="n">
        <v>30.93991171</v>
      </c>
      <c r="M162" s="3" t="n">
        <v>10747.2</v>
      </c>
      <c r="N162" s="4" t="n">
        <v>69.06008829</v>
      </c>
    </row>
    <row r="163" customFormat="false" ht="15" hidden="false" customHeight="false" outlineLevel="0" collapsed="false">
      <c r="A163" s="2" t="s">
        <v>226</v>
      </c>
      <c r="B163" s="2" t="s">
        <v>15</v>
      </c>
      <c r="C163" s="2" t="s">
        <v>95</v>
      </c>
      <c r="D163" s="2" t="s">
        <v>17</v>
      </c>
      <c r="E163" s="2" t="s">
        <v>18</v>
      </c>
      <c r="F163" s="2" t="s">
        <v>19</v>
      </c>
      <c r="G163" s="2" t="n">
        <v>2018</v>
      </c>
      <c r="H163" s="3" t="n">
        <v>15561.7</v>
      </c>
      <c r="I163" s="3" t="n">
        <v>10487.9</v>
      </c>
      <c r="J163" s="3" t="n">
        <v>5077.6</v>
      </c>
      <c r="K163" s="3" t="n">
        <v>6776.1</v>
      </c>
      <c r="L163" s="4" t="n">
        <v>43.5434432</v>
      </c>
      <c r="M163" s="3" t="n">
        <v>8785.6</v>
      </c>
      <c r="N163" s="4" t="n">
        <v>56.4565568</v>
      </c>
    </row>
    <row r="164" customFormat="false" ht="15" hidden="false" customHeight="false" outlineLevel="0" collapsed="false">
      <c r="A164" s="2" t="s">
        <v>227</v>
      </c>
      <c r="B164" s="2" t="s">
        <v>21</v>
      </c>
      <c r="C164" s="2" t="s">
        <v>167</v>
      </c>
      <c r="D164" s="2" t="s">
        <v>168</v>
      </c>
      <c r="E164" s="2" t="s">
        <v>169</v>
      </c>
      <c r="F164" s="2" t="s">
        <v>19</v>
      </c>
      <c r="G164" s="2" t="n">
        <v>2011</v>
      </c>
      <c r="H164" s="3" t="n">
        <v>15528.2</v>
      </c>
      <c r="I164" s="3" t="n">
        <v>7743.7</v>
      </c>
      <c r="J164" s="3" t="n">
        <v>7783.6</v>
      </c>
      <c r="K164" s="3" t="n">
        <v>7736.5</v>
      </c>
      <c r="L164" s="4" t="n">
        <v>49.82225886</v>
      </c>
      <c r="M164" s="3" t="n">
        <v>7791.7</v>
      </c>
      <c r="N164" s="4" t="n">
        <v>50.17774114</v>
      </c>
    </row>
    <row r="165" customFormat="false" ht="15" hidden="false" customHeight="false" outlineLevel="0" collapsed="false">
      <c r="A165" s="2" t="s">
        <v>228</v>
      </c>
      <c r="B165" s="2" t="s">
        <v>21</v>
      </c>
      <c r="C165" s="2" t="s">
        <v>167</v>
      </c>
      <c r="D165" s="2" t="s">
        <v>168</v>
      </c>
      <c r="E165" s="2" t="s">
        <v>23</v>
      </c>
      <c r="F165" s="2" t="s">
        <v>19</v>
      </c>
      <c r="G165" s="2" t="n">
        <v>2012</v>
      </c>
      <c r="H165" s="3" t="n">
        <v>15525.6</v>
      </c>
      <c r="I165" s="3" t="n">
        <v>11131.7</v>
      </c>
      <c r="J165" s="3" t="n">
        <v>4374.8</v>
      </c>
      <c r="K165" s="3" t="n">
        <v>3212</v>
      </c>
      <c r="L165" s="4" t="n">
        <v>20.6884114</v>
      </c>
      <c r="M165" s="3" t="n">
        <v>12313.6</v>
      </c>
      <c r="N165" s="4" t="n">
        <v>79.3115886</v>
      </c>
    </row>
    <row r="166" customFormat="false" ht="15" hidden="false" customHeight="false" outlineLevel="0" collapsed="false">
      <c r="A166" s="2" t="s">
        <v>229</v>
      </c>
      <c r="B166" s="2" t="s">
        <v>15</v>
      </c>
      <c r="C166" s="2" t="s">
        <v>22</v>
      </c>
      <c r="D166" s="2" t="s">
        <v>17</v>
      </c>
      <c r="E166" s="2" t="s">
        <v>52</v>
      </c>
      <c r="F166" s="2" t="s">
        <v>49</v>
      </c>
      <c r="G166" s="2" t="n">
        <v>1990</v>
      </c>
      <c r="H166" s="3" t="n">
        <v>15453.3</v>
      </c>
      <c r="I166" s="3" t="n">
        <v>15342.6</v>
      </c>
      <c r="J166" s="3" t="n">
        <v>118.3</v>
      </c>
      <c r="K166" s="3" t="n">
        <v>15333.7</v>
      </c>
      <c r="L166" s="4" t="n">
        <v>99.22605528</v>
      </c>
      <c r="M166" s="3" t="n">
        <v>119.6</v>
      </c>
      <c r="N166" s="4" t="n">
        <v>0.7739447238</v>
      </c>
    </row>
    <row r="167" customFormat="false" ht="15" hidden="false" customHeight="false" outlineLevel="0" collapsed="false">
      <c r="A167" s="2" t="s">
        <v>230</v>
      </c>
      <c r="B167" s="2" t="s">
        <v>15</v>
      </c>
      <c r="C167" s="2" t="s">
        <v>22</v>
      </c>
      <c r="D167" s="2" t="s">
        <v>17</v>
      </c>
      <c r="E167" s="2" t="s">
        <v>18</v>
      </c>
      <c r="F167" s="2" t="s">
        <v>19</v>
      </c>
      <c r="G167" s="2" t="n">
        <v>2011</v>
      </c>
      <c r="H167" s="3" t="n">
        <v>15329.4</v>
      </c>
      <c r="I167" s="3" t="n">
        <v>6848.7</v>
      </c>
      <c r="J167" s="3" t="n">
        <v>8480.7</v>
      </c>
      <c r="K167" s="3" t="n">
        <v>2898.8</v>
      </c>
      <c r="L167" s="4" t="n">
        <v>18.91006823</v>
      </c>
      <c r="M167" s="3" t="n">
        <v>12430.6</v>
      </c>
      <c r="N167" s="4" t="n">
        <v>81.08993177</v>
      </c>
    </row>
    <row r="168" customFormat="false" ht="15" hidden="false" customHeight="false" outlineLevel="0" collapsed="false">
      <c r="A168" s="2" t="s">
        <v>231</v>
      </c>
      <c r="B168" s="2" t="s">
        <v>15</v>
      </c>
      <c r="C168" s="2" t="s">
        <v>22</v>
      </c>
      <c r="D168" s="2" t="s">
        <v>17</v>
      </c>
      <c r="E168" s="2" t="s">
        <v>18</v>
      </c>
      <c r="F168" s="2" t="s">
        <v>19</v>
      </c>
      <c r="G168" s="2" t="n">
        <v>2017</v>
      </c>
      <c r="H168" s="3" t="n">
        <v>15252.2</v>
      </c>
      <c r="I168" s="3" t="n">
        <v>13192.5</v>
      </c>
      <c r="J168" s="3" t="n">
        <v>2067.1</v>
      </c>
      <c r="K168" s="3" t="n">
        <v>7139.4</v>
      </c>
      <c r="L168" s="4" t="n">
        <v>46.80898493</v>
      </c>
      <c r="M168" s="3" t="n">
        <v>8112.8</v>
      </c>
      <c r="N168" s="4" t="n">
        <v>53.19101507</v>
      </c>
    </row>
    <row r="169" customFormat="false" ht="15" hidden="false" customHeight="false" outlineLevel="0" collapsed="false">
      <c r="A169" s="2" t="s">
        <v>232</v>
      </c>
      <c r="B169" s="2" t="s">
        <v>15</v>
      </c>
      <c r="C169" s="2" t="s">
        <v>72</v>
      </c>
      <c r="D169" s="2" t="s">
        <v>233</v>
      </c>
      <c r="E169" s="2" t="s">
        <v>74</v>
      </c>
      <c r="F169" s="2" t="s">
        <v>19</v>
      </c>
      <c r="G169" s="2" t="n">
        <v>1992</v>
      </c>
      <c r="H169" s="3" t="n">
        <v>15240.4</v>
      </c>
      <c r="I169" s="3" t="n">
        <v>10857.5</v>
      </c>
      <c r="J169" s="3" t="n">
        <v>4397.5</v>
      </c>
      <c r="K169" s="3" t="n">
        <v>594.9</v>
      </c>
      <c r="L169" s="4" t="n">
        <v>3.903440855</v>
      </c>
      <c r="M169" s="3" t="n">
        <v>14645.5</v>
      </c>
      <c r="N169" s="4" t="n">
        <v>96.09655915</v>
      </c>
    </row>
    <row r="170" customFormat="false" ht="15" hidden="false" customHeight="false" outlineLevel="0" collapsed="false">
      <c r="A170" s="2" t="s">
        <v>234</v>
      </c>
      <c r="B170" s="2" t="s">
        <v>15</v>
      </c>
      <c r="C170" s="2" t="s">
        <v>22</v>
      </c>
      <c r="D170" s="2" t="s">
        <v>17</v>
      </c>
      <c r="E170" s="2" t="s">
        <v>18</v>
      </c>
      <c r="F170" s="2" t="s">
        <v>19</v>
      </c>
      <c r="G170" s="2" t="n">
        <v>2006</v>
      </c>
      <c r="H170" s="3" t="n">
        <v>15133</v>
      </c>
      <c r="I170" s="3" t="n">
        <v>11606.5</v>
      </c>
      <c r="J170" s="3" t="n">
        <v>3518.6</v>
      </c>
      <c r="K170" s="3" t="n">
        <v>1928.5</v>
      </c>
      <c r="L170" s="4" t="n">
        <v>12.74367277</v>
      </c>
      <c r="M170" s="3" t="n">
        <v>13204.5</v>
      </c>
      <c r="N170" s="4" t="n">
        <v>87.25632723</v>
      </c>
    </row>
    <row r="171" customFormat="false" ht="15" hidden="false" customHeight="false" outlineLevel="0" collapsed="false">
      <c r="A171" s="2" t="s">
        <v>235</v>
      </c>
      <c r="B171" s="2" t="s">
        <v>15</v>
      </c>
      <c r="C171" s="2" t="s">
        <v>22</v>
      </c>
      <c r="D171" s="2" t="s">
        <v>17</v>
      </c>
      <c r="E171" s="2" t="s">
        <v>18</v>
      </c>
      <c r="F171" s="2" t="s">
        <v>19</v>
      </c>
      <c r="G171" s="2" t="n">
        <v>2008</v>
      </c>
      <c r="H171" s="3" t="n">
        <v>15086.8</v>
      </c>
      <c r="I171" s="3" t="n">
        <v>10607.6</v>
      </c>
      <c r="J171" s="3" t="n">
        <v>4483.9</v>
      </c>
      <c r="K171" s="3" t="n">
        <v>5835.1</v>
      </c>
      <c r="L171" s="4" t="n">
        <v>38.67685659</v>
      </c>
      <c r="M171" s="3" t="n">
        <v>9251.7</v>
      </c>
      <c r="N171" s="4" t="n">
        <v>61.32314341</v>
      </c>
    </row>
    <row r="172" customFormat="false" ht="15" hidden="false" customHeight="false" outlineLevel="0" collapsed="false">
      <c r="A172" s="2" t="s">
        <v>236</v>
      </c>
      <c r="B172" s="2" t="s">
        <v>15</v>
      </c>
      <c r="C172" s="2" t="s">
        <v>22</v>
      </c>
      <c r="D172" s="2" t="s">
        <v>25</v>
      </c>
      <c r="E172" s="2" t="s">
        <v>26</v>
      </c>
      <c r="F172" s="2" t="s">
        <v>19</v>
      </c>
      <c r="G172" s="2" t="n">
        <v>2010</v>
      </c>
      <c r="H172" s="3" t="n">
        <v>15041.1</v>
      </c>
      <c r="I172" s="3" t="n">
        <v>4978.9</v>
      </c>
      <c r="J172" s="3" t="n">
        <v>10062.1</v>
      </c>
      <c r="K172" s="3" t="n">
        <v>2069.9</v>
      </c>
      <c r="L172" s="4" t="n">
        <v>13.76162648</v>
      </c>
      <c r="M172" s="3" t="n">
        <v>12971.2</v>
      </c>
      <c r="N172" s="4" t="n">
        <v>86.23837352</v>
      </c>
    </row>
    <row r="173" customFormat="false" ht="15" hidden="false" customHeight="false" outlineLevel="0" collapsed="false">
      <c r="A173" s="2" t="s">
        <v>237</v>
      </c>
      <c r="B173" s="2" t="s">
        <v>15</v>
      </c>
      <c r="C173" s="2" t="s">
        <v>184</v>
      </c>
      <c r="D173" s="2" t="s">
        <v>17</v>
      </c>
      <c r="E173" s="2" t="s">
        <v>185</v>
      </c>
      <c r="F173" s="2" t="s">
        <v>49</v>
      </c>
      <c r="G173" s="2" t="n">
        <v>1962</v>
      </c>
      <c r="H173" s="3" t="n">
        <v>14992.7</v>
      </c>
      <c r="I173" s="3" t="n">
        <v>14837.1</v>
      </c>
      <c r="J173" s="3" t="n">
        <v>161.6</v>
      </c>
      <c r="K173" s="3" t="n">
        <v>13836</v>
      </c>
      <c r="L173" s="4" t="n">
        <v>92.28491199</v>
      </c>
      <c r="M173" s="3" t="n">
        <v>1156.7</v>
      </c>
      <c r="N173" s="4" t="n">
        <v>7.715088009</v>
      </c>
    </row>
    <row r="174" customFormat="false" ht="15" hidden="false" customHeight="false" outlineLevel="0" collapsed="false">
      <c r="A174" s="2" t="s">
        <v>238</v>
      </c>
      <c r="B174" s="2" t="s">
        <v>15</v>
      </c>
      <c r="C174" s="2" t="s">
        <v>46</v>
      </c>
      <c r="D174" s="2" t="s">
        <v>47</v>
      </c>
      <c r="E174" s="2" t="s">
        <v>48</v>
      </c>
      <c r="F174" s="2" t="s">
        <v>49</v>
      </c>
      <c r="G174" s="2" t="n">
        <v>2018</v>
      </c>
      <c r="H174" s="3" t="n">
        <v>14947.4</v>
      </c>
      <c r="I174" s="3" t="n">
        <v>14819</v>
      </c>
      <c r="J174" s="3" t="n">
        <v>136.5</v>
      </c>
      <c r="K174" s="3" t="n">
        <v>13482.3</v>
      </c>
      <c r="L174" s="4" t="n">
        <v>90.19829536</v>
      </c>
      <c r="M174" s="3" t="n">
        <v>1465.1</v>
      </c>
      <c r="N174" s="4" t="n">
        <v>9.801704644</v>
      </c>
    </row>
    <row r="175" customFormat="false" ht="15" hidden="false" customHeight="false" outlineLevel="0" collapsed="false">
      <c r="A175" s="2" t="s">
        <v>239</v>
      </c>
      <c r="B175" s="2" t="s">
        <v>15</v>
      </c>
      <c r="C175" s="2" t="s">
        <v>72</v>
      </c>
      <c r="D175" s="2" t="s">
        <v>233</v>
      </c>
      <c r="E175" s="2" t="s">
        <v>74</v>
      </c>
      <c r="F175" s="2" t="s">
        <v>19</v>
      </c>
      <c r="G175" s="2" t="n">
        <v>2012</v>
      </c>
      <c r="H175" s="3" t="n">
        <v>14897.8</v>
      </c>
      <c r="I175" s="3" t="n">
        <v>12456.5</v>
      </c>
      <c r="J175" s="3" t="n">
        <v>2450</v>
      </c>
      <c r="K175" s="3" t="n">
        <v>1543.3</v>
      </c>
      <c r="L175" s="4" t="n">
        <v>10.35924767</v>
      </c>
      <c r="M175" s="3" t="n">
        <v>13354.5</v>
      </c>
      <c r="N175" s="4" t="n">
        <v>89.64075233</v>
      </c>
    </row>
    <row r="176" customFormat="false" ht="15" hidden="false" customHeight="false" outlineLevel="0" collapsed="false">
      <c r="A176" s="2" t="s">
        <v>240</v>
      </c>
      <c r="B176" s="2" t="s">
        <v>15</v>
      </c>
      <c r="C176" s="2" t="s">
        <v>22</v>
      </c>
      <c r="D176" s="2" t="s">
        <v>17</v>
      </c>
      <c r="E176" s="2" t="s">
        <v>28</v>
      </c>
      <c r="F176" s="2" t="s">
        <v>19</v>
      </c>
      <c r="G176" s="2" t="n">
        <v>2006</v>
      </c>
      <c r="H176" s="3" t="n">
        <v>14888.6</v>
      </c>
      <c r="I176" s="3" t="n">
        <v>8808.5</v>
      </c>
      <c r="J176" s="3" t="n">
        <v>6090.2</v>
      </c>
      <c r="K176" s="3" t="n">
        <v>8012</v>
      </c>
      <c r="L176" s="4" t="n">
        <v>53.81298443</v>
      </c>
      <c r="M176" s="3" t="n">
        <v>6876.6</v>
      </c>
      <c r="N176" s="4" t="n">
        <v>46.18701557</v>
      </c>
    </row>
    <row r="177" customFormat="false" ht="15" hidden="false" customHeight="false" outlineLevel="0" collapsed="false">
      <c r="A177" s="2" t="s">
        <v>241</v>
      </c>
      <c r="B177" s="2" t="s">
        <v>15</v>
      </c>
      <c r="C177" s="2" t="s">
        <v>22</v>
      </c>
      <c r="D177" s="2" t="s">
        <v>17</v>
      </c>
      <c r="E177" s="2" t="s">
        <v>18</v>
      </c>
      <c r="F177" s="2" t="s">
        <v>19</v>
      </c>
      <c r="G177" s="2" t="n">
        <v>2005</v>
      </c>
      <c r="H177" s="3" t="n">
        <v>14880.2</v>
      </c>
      <c r="I177" s="3" t="n">
        <v>7106.1</v>
      </c>
      <c r="J177" s="3" t="n">
        <v>7779.1</v>
      </c>
      <c r="K177" s="3" t="n">
        <v>1618.8</v>
      </c>
      <c r="L177" s="4" t="n">
        <v>10.87888604</v>
      </c>
      <c r="M177" s="3" t="n">
        <v>13261.4</v>
      </c>
      <c r="N177" s="4" t="n">
        <v>89.12111396</v>
      </c>
    </row>
    <row r="178" customFormat="false" ht="15" hidden="false" customHeight="false" outlineLevel="0" collapsed="false">
      <c r="A178" s="2" t="s">
        <v>242</v>
      </c>
      <c r="B178" s="2" t="s">
        <v>21</v>
      </c>
      <c r="C178" s="2" t="s">
        <v>243</v>
      </c>
      <c r="D178" s="2" t="s">
        <v>25</v>
      </c>
      <c r="E178" s="2" t="s">
        <v>23</v>
      </c>
      <c r="F178" s="2" t="s">
        <v>19</v>
      </c>
      <c r="G178" s="2" t="n">
        <v>2016</v>
      </c>
      <c r="H178" s="3" t="n">
        <v>14558.4</v>
      </c>
      <c r="I178" s="3" t="n">
        <v>10084</v>
      </c>
      <c r="J178" s="3" t="n">
        <v>4479.1</v>
      </c>
      <c r="K178" s="3" t="n">
        <v>5316.8</v>
      </c>
      <c r="L178" s="4" t="n">
        <v>36.52049676</v>
      </c>
      <c r="M178" s="3" t="n">
        <v>9241.6</v>
      </c>
      <c r="N178" s="4" t="n">
        <v>63.47950324</v>
      </c>
    </row>
    <row r="179" customFormat="false" ht="15" hidden="false" customHeight="false" outlineLevel="0" collapsed="false">
      <c r="A179" s="2" t="s">
        <v>244</v>
      </c>
      <c r="B179" s="2" t="s">
        <v>21</v>
      </c>
      <c r="C179" s="2" t="s">
        <v>34</v>
      </c>
      <c r="D179" s="2" t="s">
        <v>17</v>
      </c>
      <c r="E179" s="2" t="s">
        <v>23</v>
      </c>
      <c r="F179" s="2" t="s">
        <v>19</v>
      </c>
      <c r="G179" s="2" t="n">
        <v>2008</v>
      </c>
      <c r="H179" s="3" t="n">
        <v>14544.4</v>
      </c>
      <c r="I179" s="3" t="n">
        <v>10175.3</v>
      </c>
      <c r="J179" s="3" t="n">
        <v>4376</v>
      </c>
      <c r="K179" s="3" t="n">
        <v>6747.8</v>
      </c>
      <c r="L179" s="4" t="n">
        <v>46.3944886</v>
      </c>
      <c r="M179" s="3" t="n">
        <v>7796.6</v>
      </c>
      <c r="N179" s="4" t="n">
        <v>53.6055114</v>
      </c>
    </row>
    <row r="180" customFormat="false" ht="15" hidden="false" customHeight="false" outlineLevel="0" collapsed="false">
      <c r="A180" s="2" t="s">
        <v>245</v>
      </c>
      <c r="B180" s="2" t="s">
        <v>15</v>
      </c>
      <c r="C180" s="2" t="s">
        <v>246</v>
      </c>
      <c r="D180" s="2" t="s">
        <v>17</v>
      </c>
      <c r="E180" s="2" t="s">
        <v>28</v>
      </c>
      <c r="F180" s="2" t="s">
        <v>19</v>
      </c>
      <c r="G180" s="2" t="n">
        <v>2017</v>
      </c>
      <c r="H180" s="3" t="n">
        <v>14512.1</v>
      </c>
      <c r="I180" s="3" t="n">
        <v>13579.3</v>
      </c>
      <c r="J180" s="3" t="n">
        <v>938.4</v>
      </c>
      <c r="K180" s="3" t="n">
        <v>12111.7</v>
      </c>
      <c r="L180" s="4" t="n">
        <v>83.45932015</v>
      </c>
      <c r="M180" s="3" t="n">
        <v>2400.4</v>
      </c>
      <c r="N180" s="4" t="n">
        <v>16.54067985</v>
      </c>
    </row>
    <row r="181" customFormat="false" ht="15" hidden="false" customHeight="false" outlineLevel="0" collapsed="false">
      <c r="A181" s="2" t="s">
        <v>247</v>
      </c>
      <c r="B181" s="2" t="s">
        <v>15</v>
      </c>
      <c r="C181" s="2" t="s">
        <v>22</v>
      </c>
      <c r="D181" s="2" t="s">
        <v>17</v>
      </c>
      <c r="E181" s="2" t="s">
        <v>52</v>
      </c>
      <c r="F181" s="2" t="s">
        <v>49</v>
      </c>
      <c r="G181" s="2" t="n">
        <v>2003</v>
      </c>
      <c r="H181" s="3" t="n">
        <v>14507.7</v>
      </c>
      <c r="I181" s="3" t="n">
        <v>10717.2</v>
      </c>
      <c r="J181" s="3" t="n">
        <v>3796.5</v>
      </c>
      <c r="K181" s="3" t="n">
        <v>12380.2</v>
      </c>
      <c r="L181" s="4" t="n">
        <v>85.33537363</v>
      </c>
      <c r="M181" s="3" t="n">
        <v>2127.5</v>
      </c>
      <c r="N181" s="4" t="n">
        <v>14.66462637</v>
      </c>
    </row>
    <row r="182" customFormat="false" ht="15" hidden="false" customHeight="false" outlineLevel="0" collapsed="false">
      <c r="A182" s="2" t="s">
        <v>248</v>
      </c>
      <c r="B182" s="2" t="s">
        <v>15</v>
      </c>
      <c r="C182" s="2" t="s">
        <v>16</v>
      </c>
      <c r="D182" s="2" t="s">
        <v>17</v>
      </c>
      <c r="E182" s="2" t="s">
        <v>28</v>
      </c>
      <c r="F182" s="2" t="s">
        <v>19</v>
      </c>
      <c r="G182" s="2" t="n">
        <v>2013</v>
      </c>
      <c r="H182" s="3" t="n">
        <v>14506.3</v>
      </c>
      <c r="I182" s="3" t="n">
        <v>13237.2</v>
      </c>
      <c r="J182" s="3" t="n">
        <v>1275</v>
      </c>
      <c r="K182" s="3" t="n">
        <v>7177.2</v>
      </c>
      <c r="L182" s="4" t="n">
        <v>49.47643438</v>
      </c>
      <c r="M182" s="3" t="n">
        <v>7329.1</v>
      </c>
      <c r="N182" s="4" t="n">
        <v>50.52356562</v>
      </c>
    </row>
    <row r="183" customFormat="false" ht="15" hidden="false" customHeight="false" outlineLevel="0" collapsed="false">
      <c r="A183" s="2" t="s">
        <v>249</v>
      </c>
      <c r="B183" s="2" t="s">
        <v>15</v>
      </c>
      <c r="C183" s="2" t="s">
        <v>167</v>
      </c>
      <c r="D183" s="2" t="s">
        <v>168</v>
      </c>
      <c r="E183" s="2" t="s">
        <v>169</v>
      </c>
      <c r="F183" s="2" t="s">
        <v>49</v>
      </c>
      <c r="G183" s="2" t="n">
        <v>2007</v>
      </c>
      <c r="H183" s="3" t="n">
        <v>14404.4</v>
      </c>
      <c r="I183" s="3" t="n">
        <v>11024</v>
      </c>
      <c r="J183" s="3" t="n">
        <v>3391.4</v>
      </c>
      <c r="K183" s="3" t="n">
        <v>10484.4</v>
      </c>
      <c r="L183" s="4" t="n">
        <v>72.78609314</v>
      </c>
      <c r="M183" s="3" t="n">
        <v>3920</v>
      </c>
      <c r="N183" s="4" t="n">
        <v>27.21390686</v>
      </c>
    </row>
    <row r="184" customFormat="false" ht="15" hidden="false" customHeight="false" outlineLevel="0" collapsed="false">
      <c r="A184" s="2" t="s">
        <v>250</v>
      </c>
      <c r="B184" s="2" t="s">
        <v>15</v>
      </c>
      <c r="C184" s="2" t="s">
        <v>22</v>
      </c>
      <c r="D184" s="2" t="s">
        <v>17</v>
      </c>
      <c r="E184" s="2" t="s">
        <v>18</v>
      </c>
      <c r="F184" s="2" t="s">
        <v>19</v>
      </c>
      <c r="G184" s="2" t="n">
        <v>2015</v>
      </c>
      <c r="H184" s="3" t="n">
        <v>14402.6</v>
      </c>
      <c r="I184" s="3" t="n">
        <v>13416.1</v>
      </c>
      <c r="J184" s="3" t="n">
        <v>990</v>
      </c>
      <c r="K184" s="3" t="n">
        <v>791.1</v>
      </c>
      <c r="L184" s="4" t="n">
        <v>5.492758252</v>
      </c>
      <c r="M184" s="3" t="n">
        <v>13611.5</v>
      </c>
      <c r="N184" s="4" t="n">
        <v>94.50724175</v>
      </c>
    </row>
    <row r="185" customFormat="false" ht="15" hidden="false" customHeight="false" outlineLevel="0" collapsed="false">
      <c r="A185" s="2" t="s">
        <v>251</v>
      </c>
      <c r="B185" s="2" t="s">
        <v>15</v>
      </c>
      <c r="C185" s="2" t="s">
        <v>22</v>
      </c>
      <c r="D185" s="2" t="s">
        <v>17</v>
      </c>
      <c r="E185" s="2" t="s">
        <v>52</v>
      </c>
      <c r="F185" s="2" t="s">
        <v>49</v>
      </c>
      <c r="G185" s="2" t="n">
        <v>2005</v>
      </c>
      <c r="H185" s="3" t="n">
        <v>14402.3</v>
      </c>
      <c r="I185" s="3" t="n">
        <v>4417.2</v>
      </c>
      <c r="J185" s="3" t="n">
        <v>9988.5</v>
      </c>
      <c r="K185" s="3" t="n">
        <v>13038</v>
      </c>
      <c r="L185" s="4" t="n">
        <v>90.52720746</v>
      </c>
      <c r="M185" s="3" t="n">
        <v>1364.3</v>
      </c>
      <c r="N185" s="4" t="n">
        <v>9.47279254</v>
      </c>
    </row>
    <row r="186" customFormat="false" ht="15" hidden="false" customHeight="false" outlineLevel="0" collapsed="false">
      <c r="A186" s="2" t="s">
        <v>252</v>
      </c>
      <c r="B186" s="2" t="s">
        <v>15</v>
      </c>
      <c r="C186" s="2" t="s">
        <v>95</v>
      </c>
      <c r="D186" s="2" t="s">
        <v>17</v>
      </c>
      <c r="E186" s="2" t="s">
        <v>52</v>
      </c>
      <c r="F186" s="2" t="s">
        <v>19</v>
      </c>
      <c r="G186" s="2" t="n">
        <v>2008</v>
      </c>
      <c r="H186" s="3" t="n">
        <v>14387.1</v>
      </c>
      <c r="I186" s="3" t="n">
        <v>13232.8</v>
      </c>
      <c r="J186" s="3" t="n">
        <v>1165.4</v>
      </c>
      <c r="K186" s="3" t="n">
        <v>12678.8</v>
      </c>
      <c r="L186" s="4" t="n">
        <v>88.12616858</v>
      </c>
      <c r="M186" s="3" t="n">
        <v>1708.3</v>
      </c>
      <c r="N186" s="4" t="n">
        <v>11.87383142</v>
      </c>
    </row>
    <row r="187" customFormat="false" ht="15" hidden="false" customHeight="false" outlineLevel="0" collapsed="false">
      <c r="A187" s="2" t="s">
        <v>253</v>
      </c>
      <c r="B187" s="2" t="s">
        <v>15</v>
      </c>
      <c r="C187" s="2" t="s">
        <v>243</v>
      </c>
      <c r="D187" s="2" t="s">
        <v>25</v>
      </c>
      <c r="E187" s="2" t="s">
        <v>26</v>
      </c>
      <c r="F187" s="2" t="s">
        <v>19</v>
      </c>
      <c r="G187" s="2" t="n">
        <v>2020</v>
      </c>
      <c r="H187" s="3" t="n">
        <v>14345.2</v>
      </c>
      <c r="I187" s="3" t="n">
        <v>7659.9</v>
      </c>
      <c r="J187" s="3" t="n">
        <v>6698.1</v>
      </c>
      <c r="K187" s="3" t="n">
        <v>4914.9</v>
      </c>
      <c r="L187" s="4" t="n">
        <v>34.26163455</v>
      </c>
      <c r="M187" s="3" t="n">
        <v>9430.3</v>
      </c>
      <c r="N187" s="4" t="n">
        <v>65.73836545</v>
      </c>
    </row>
    <row r="188" customFormat="false" ht="15" hidden="false" customHeight="false" outlineLevel="0" collapsed="false">
      <c r="A188" s="2" t="s">
        <v>254</v>
      </c>
      <c r="B188" s="2" t="s">
        <v>15</v>
      </c>
      <c r="C188" s="2" t="s">
        <v>43</v>
      </c>
      <c r="D188" s="2" t="s">
        <v>25</v>
      </c>
      <c r="E188" s="2" t="s">
        <v>83</v>
      </c>
      <c r="F188" s="2" t="s">
        <v>49</v>
      </c>
      <c r="G188" s="2" t="n">
        <v>2015</v>
      </c>
      <c r="H188" s="3" t="n">
        <v>14293.7</v>
      </c>
      <c r="I188" s="3" t="n">
        <v>11695.5</v>
      </c>
      <c r="J188" s="3" t="n">
        <v>2609</v>
      </c>
      <c r="K188" s="3" t="n">
        <v>8588.9</v>
      </c>
      <c r="L188" s="4" t="n">
        <v>60.08871041</v>
      </c>
      <c r="M188" s="3" t="n">
        <v>5704.8</v>
      </c>
      <c r="N188" s="4" t="n">
        <v>39.91128959</v>
      </c>
    </row>
    <row r="189" customFormat="false" ht="15" hidden="false" customHeight="false" outlineLevel="0" collapsed="false">
      <c r="A189" s="2" t="s">
        <v>255</v>
      </c>
      <c r="B189" s="2" t="s">
        <v>21</v>
      </c>
      <c r="C189" s="2" t="s">
        <v>148</v>
      </c>
      <c r="D189" s="2" t="s">
        <v>17</v>
      </c>
      <c r="E189" s="2" t="s">
        <v>23</v>
      </c>
      <c r="F189" s="2" t="s">
        <v>19</v>
      </c>
      <c r="G189" s="2" t="n">
        <v>2008</v>
      </c>
      <c r="H189" s="3" t="n">
        <v>14221.3</v>
      </c>
      <c r="I189" s="3" t="n">
        <v>9372.1</v>
      </c>
      <c r="J189" s="3" t="n">
        <v>4858.7</v>
      </c>
      <c r="K189" s="3" t="n">
        <v>7138.3</v>
      </c>
      <c r="L189" s="4" t="n">
        <v>50.19442667</v>
      </c>
      <c r="M189" s="3" t="n">
        <v>7083</v>
      </c>
      <c r="N189" s="4" t="n">
        <v>49.80557333</v>
      </c>
    </row>
    <row r="190" customFormat="false" ht="15" hidden="false" customHeight="false" outlineLevel="0" collapsed="false">
      <c r="A190" s="2" t="s">
        <v>256</v>
      </c>
      <c r="B190" s="2" t="s">
        <v>15</v>
      </c>
      <c r="C190" s="2" t="s">
        <v>90</v>
      </c>
      <c r="D190" s="2" t="s">
        <v>25</v>
      </c>
      <c r="E190" s="2" t="s">
        <v>91</v>
      </c>
      <c r="F190" s="2" t="s">
        <v>19</v>
      </c>
      <c r="G190" s="2" t="n">
        <v>2023</v>
      </c>
      <c r="H190" s="3" t="n">
        <v>14166.6</v>
      </c>
      <c r="I190" s="3" t="n">
        <v>7969.4</v>
      </c>
      <c r="J190" s="3" t="n">
        <v>6215.6</v>
      </c>
      <c r="K190" s="3" t="n">
        <v>3646.4</v>
      </c>
      <c r="L190" s="4" t="n">
        <v>25.73941524</v>
      </c>
      <c r="M190" s="3" t="n">
        <v>10520.2</v>
      </c>
      <c r="N190" s="4" t="n">
        <v>74.26058476</v>
      </c>
    </row>
    <row r="191" customFormat="false" ht="15" hidden="false" customHeight="false" outlineLevel="0" collapsed="false">
      <c r="A191" s="2" t="s">
        <v>257</v>
      </c>
      <c r="B191" s="2" t="s">
        <v>15</v>
      </c>
      <c r="C191" s="2" t="s">
        <v>60</v>
      </c>
      <c r="D191" s="2" t="s">
        <v>258</v>
      </c>
      <c r="E191" s="2" t="s">
        <v>18</v>
      </c>
      <c r="F191" s="2" t="s">
        <v>19</v>
      </c>
      <c r="G191" s="2" t="n">
        <v>2013</v>
      </c>
      <c r="H191" s="3" t="n">
        <v>14127.8</v>
      </c>
      <c r="I191" s="3" t="n">
        <v>11142.3</v>
      </c>
      <c r="J191" s="3" t="n">
        <v>2993.2</v>
      </c>
      <c r="K191" s="3" t="n">
        <v>8903.2</v>
      </c>
      <c r="L191" s="4" t="n">
        <v>63.01901216</v>
      </c>
      <c r="M191" s="3" t="n">
        <v>5224.6</v>
      </c>
      <c r="N191" s="4" t="n">
        <v>36.98098784</v>
      </c>
    </row>
    <row r="192" customFormat="false" ht="15" hidden="false" customHeight="false" outlineLevel="0" collapsed="false">
      <c r="A192" s="2" t="s">
        <v>259</v>
      </c>
      <c r="B192" s="2" t="s">
        <v>15</v>
      </c>
      <c r="C192" s="2" t="s">
        <v>22</v>
      </c>
      <c r="D192" s="2" t="s">
        <v>17</v>
      </c>
      <c r="E192" s="2" t="s">
        <v>18</v>
      </c>
      <c r="F192" s="2" t="s">
        <v>19</v>
      </c>
      <c r="G192" s="2" t="n">
        <v>1991</v>
      </c>
      <c r="H192" s="3" t="n">
        <v>14116.7</v>
      </c>
      <c r="I192" s="3" t="n">
        <v>13659.9</v>
      </c>
      <c r="J192" s="3" t="n">
        <v>462.4</v>
      </c>
      <c r="K192" s="3" t="n">
        <v>5423.2</v>
      </c>
      <c r="L192" s="4" t="n">
        <v>38.41691047</v>
      </c>
      <c r="M192" s="3" t="n">
        <v>8693.5</v>
      </c>
      <c r="N192" s="4" t="n">
        <v>61.58308953</v>
      </c>
    </row>
    <row r="193" customFormat="false" ht="15" hidden="false" customHeight="false" outlineLevel="0" collapsed="false">
      <c r="A193" s="2" t="s">
        <v>260</v>
      </c>
      <c r="B193" s="2" t="s">
        <v>15</v>
      </c>
      <c r="C193" s="2" t="s">
        <v>34</v>
      </c>
      <c r="D193" s="2" t="s">
        <v>17</v>
      </c>
      <c r="E193" s="2" t="s">
        <v>58</v>
      </c>
      <c r="F193" s="2" t="s">
        <v>49</v>
      </c>
      <c r="G193" s="2" t="n">
        <v>2001</v>
      </c>
      <c r="H193" s="3" t="n">
        <v>14104.4</v>
      </c>
      <c r="I193" s="3" t="n">
        <v>14087.5</v>
      </c>
      <c r="J193" s="3" t="n">
        <v>23.4</v>
      </c>
      <c r="K193" s="3" t="n">
        <v>3963.9</v>
      </c>
      <c r="L193" s="4" t="n">
        <v>28.10399592</v>
      </c>
      <c r="M193" s="3" t="n">
        <v>10140.5</v>
      </c>
      <c r="N193" s="4" t="n">
        <v>71.89600408</v>
      </c>
    </row>
    <row r="194" customFormat="false" ht="15" hidden="false" customHeight="false" outlineLevel="0" collapsed="false">
      <c r="A194" s="2" t="s">
        <v>261</v>
      </c>
      <c r="B194" s="2" t="s">
        <v>15</v>
      </c>
      <c r="C194" s="2" t="s">
        <v>86</v>
      </c>
      <c r="D194" s="2" t="s">
        <v>17</v>
      </c>
      <c r="E194" s="2" t="s">
        <v>23</v>
      </c>
      <c r="F194" s="2" t="s">
        <v>19</v>
      </c>
      <c r="G194" s="2" t="n">
        <v>2017</v>
      </c>
      <c r="H194" s="3" t="n">
        <v>14087.8</v>
      </c>
      <c r="I194" s="3" t="n">
        <v>14091.2</v>
      </c>
      <c r="J194" s="3" t="n">
        <v>0</v>
      </c>
      <c r="K194" s="3" t="n">
        <v>13608.5</v>
      </c>
      <c r="L194" s="4" t="n">
        <v>96.59776544</v>
      </c>
      <c r="M194" s="3" t="n">
        <v>479.3</v>
      </c>
      <c r="N194" s="4" t="n">
        <v>3.402234558</v>
      </c>
    </row>
    <row r="195" customFormat="false" ht="15" hidden="false" customHeight="false" outlineLevel="0" collapsed="false">
      <c r="A195" s="2" t="s">
        <v>262</v>
      </c>
      <c r="B195" s="2" t="s">
        <v>15</v>
      </c>
      <c r="C195" s="2" t="s">
        <v>22</v>
      </c>
      <c r="D195" s="2" t="s">
        <v>25</v>
      </c>
      <c r="E195" s="2" t="s">
        <v>91</v>
      </c>
      <c r="F195" s="2" t="s">
        <v>49</v>
      </c>
      <c r="G195" s="2" t="n">
        <v>2022</v>
      </c>
      <c r="H195" s="3" t="n">
        <v>13999.3</v>
      </c>
      <c r="I195" s="3" t="n">
        <v>8094.6</v>
      </c>
      <c r="J195" s="3" t="n">
        <v>5914.6</v>
      </c>
      <c r="K195" s="3" t="n">
        <v>2001.5</v>
      </c>
      <c r="L195" s="4" t="n">
        <v>14.29714343</v>
      </c>
      <c r="M195" s="3" t="n">
        <v>11997.8</v>
      </c>
      <c r="N195" s="4" t="n">
        <v>85.70285657</v>
      </c>
    </row>
    <row r="196" customFormat="false" ht="15" hidden="false" customHeight="false" outlineLevel="0" collapsed="false">
      <c r="A196" s="2" t="s">
        <v>263</v>
      </c>
      <c r="B196" s="2" t="s">
        <v>15</v>
      </c>
      <c r="C196" s="2" t="s">
        <v>43</v>
      </c>
      <c r="D196" s="2" t="s">
        <v>25</v>
      </c>
      <c r="E196" s="2" t="s">
        <v>23</v>
      </c>
      <c r="F196" s="2" t="s">
        <v>19</v>
      </c>
      <c r="G196" s="2" t="n">
        <v>2007</v>
      </c>
      <c r="H196" s="3" t="n">
        <v>13994.1</v>
      </c>
      <c r="I196" s="3" t="n">
        <v>8290.1</v>
      </c>
      <c r="J196" s="3" t="n">
        <v>5703.9</v>
      </c>
      <c r="K196" s="3" t="n">
        <v>3475.3</v>
      </c>
      <c r="L196" s="4" t="n">
        <v>24.8340372</v>
      </c>
      <c r="M196" s="3" t="n">
        <v>10518.8</v>
      </c>
      <c r="N196" s="4" t="n">
        <v>75.1659628</v>
      </c>
    </row>
    <row r="197" customFormat="false" ht="15" hidden="false" customHeight="false" outlineLevel="0" collapsed="false">
      <c r="A197" s="2" t="s">
        <v>264</v>
      </c>
      <c r="B197" s="2" t="s">
        <v>15</v>
      </c>
      <c r="C197" s="2" t="s">
        <v>22</v>
      </c>
      <c r="D197" s="2" t="s">
        <v>25</v>
      </c>
      <c r="E197" s="2" t="s">
        <v>26</v>
      </c>
      <c r="F197" s="2" t="s">
        <v>19</v>
      </c>
      <c r="G197" s="2" t="n">
        <v>2009</v>
      </c>
      <c r="H197" s="3" t="n">
        <v>13994</v>
      </c>
      <c r="I197" s="3" t="n">
        <v>944.9</v>
      </c>
      <c r="J197" s="3" t="n">
        <v>13049.1</v>
      </c>
      <c r="K197" s="3" t="n">
        <v>136</v>
      </c>
      <c r="L197" s="4" t="n">
        <v>0.9718450765</v>
      </c>
      <c r="M197" s="3" t="n">
        <v>13858</v>
      </c>
      <c r="N197" s="4" t="n">
        <v>99.02815492</v>
      </c>
    </row>
    <row r="198" customFormat="false" ht="15" hidden="false" customHeight="false" outlineLevel="0" collapsed="false">
      <c r="A198" s="2" t="s">
        <v>265</v>
      </c>
      <c r="B198" s="2" t="s">
        <v>15</v>
      </c>
      <c r="C198" s="2" t="s">
        <v>22</v>
      </c>
      <c r="D198" s="2" t="s">
        <v>17</v>
      </c>
      <c r="E198" s="2" t="s">
        <v>18</v>
      </c>
      <c r="F198" s="2" t="s">
        <v>19</v>
      </c>
      <c r="G198" s="2" t="n">
        <v>2007</v>
      </c>
      <c r="H198" s="3" t="n">
        <v>13978.6</v>
      </c>
      <c r="I198" s="3" t="n">
        <v>4090.4</v>
      </c>
      <c r="J198" s="3" t="n">
        <v>9888.1</v>
      </c>
      <c r="K198" s="3" t="n">
        <v>895.7</v>
      </c>
      <c r="L198" s="4" t="n">
        <v>6.407651696</v>
      </c>
      <c r="M198" s="3" t="n">
        <v>13082.9</v>
      </c>
      <c r="N198" s="4" t="n">
        <v>93.5923483</v>
      </c>
    </row>
    <row r="199" customFormat="false" ht="15" hidden="false" customHeight="false" outlineLevel="0" collapsed="false">
      <c r="A199" s="2" t="s">
        <v>266</v>
      </c>
      <c r="B199" s="2" t="s">
        <v>15</v>
      </c>
      <c r="C199" s="2" t="s">
        <v>22</v>
      </c>
      <c r="D199" s="2" t="s">
        <v>17</v>
      </c>
      <c r="E199" s="2" t="s">
        <v>18</v>
      </c>
      <c r="F199" s="2" t="s">
        <v>19</v>
      </c>
      <c r="G199" s="2" t="n">
        <v>2010</v>
      </c>
      <c r="H199" s="3" t="n">
        <v>13891.9</v>
      </c>
      <c r="I199" s="3" t="n">
        <v>9309.2</v>
      </c>
      <c r="J199" s="3" t="n">
        <v>4586.6</v>
      </c>
      <c r="K199" s="3" t="n">
        <v>12293.1</v>
      </c>
      <c r="L199" s="4" t="n">
        <v>88.49113512</v>
      </c>
      <c r="M199" s="3" t="n">
        <v>1598.8</v>
      </c>
      <c r="N199" s="4" t="n">
        <v>11.50886488</v>
      </c>
    </row>
    <row r="200" customFormat="false" ht="15" hidden="false" customHeight="false" outlineLevel="0" collapsed="false">
      <c r="A200" s="2" t="s">
        <v>267</v>
      </c>
      <c r="B200" s="2" t="s">
        <v>15</v>
      </c>
      <c r="C200" s="2" t="s">
        <v>22</v>
      </c>
      <c r="D200" s="2" t="s">
        <v>17</v>
      </c>
      <c r="E200" s="2" t="s">
        <v>28</v>
      </c>
      <c r="F200" s="2" t="s">
        <v>19</v>
      </c>
      <c r="G200" s="2" t="n">
        <v>2011</v>
      </c>
      <c r="H200" s="3" t="n">
        <v>13890.6</v>
      </c>
      <c r="I200" s="3" t="n">
        <v>13739.5</v>
      </c>
      <c r="J200" s="3" t="n">
        <v>155.6</v>
      </c>
      <c r="K200" s="3" t="n">
        <v>8915.5</v>
      </c>
      <c r="L200" s="4" t="n">
        <v>64.18369257</v>
      </c>
      <c r="M200" s="3" t="n">
        <v>4975.1</v>
      </c>
      <c r="N200" s="4" t="n">
        <v>35.81630743</v>
      </c>
    </row>
    <row r="201" customFormat="false" ht="15" hidden="false" customHeight="false" outlineLevel="0" collapsed="false">
      <c r="A201" s="2" t="s">
        <v>268</v>
      </c>
      <c r="B201" s="2" t="s">
        <v>15</v>
      </c>
      <c r="C201" s="2" t="s">
        <v>243</v>
      </c>
      <c r="D201" s="2" t="s">
        <v>25</v>
      </c>
      <c r="E201" s="2" t="s">
        <v>18</v>
      </c>
      <c r="F201" s="2" t="s">
        <v>19</v>
      </c>
      <c r="G201" s="2" t="n">
        <v>2014</v>
      </c>
      <c r="H201" s="3" t="n">
        <v>13734.1</v>
      </c>
      <c r="I201" s="3" t="n">
        <v>11278.9</v>
      </c>
      <c r="J201" s="3" t="n">
        <v>2462</v>
      </c>
      <c r="K201" s="3" t="n">
        <v>8953.7</v>
      </c>
      <c r="L201" s="4" t="n">
        <v>65.19320523</v>
      </c>
      <c r="M201" s="3" t="n">
        <v>4780.4</v>
      </c>
      <c r="N201" s="4" t="n">
        <v>34.80679477</v>
      </c>
    </row>
    <row r="202" customFormat="false" ht="15" hidden="false" customHeight="false" outlineLevel="0" collapsed="false">
      <c r="A202" s="2" t="s">
        <v>269</v>
      </c>
      <c r="B202" s="2" t="s">
        <v>15</v>
      </c>
      <c r="C202" s="2" t="s">
        <v>22</v>
      </c>
      <c r="D202" s="2" t="s">
        <v>17</v>
      </c>
      <c r="E202" s="2" t="s">
        <v>18</v>
      </c>
      <c r="F202" s="2" t="s">
        <v>19</v>
      </c>
      <c r="G202" s="2" t="n">
        <v>2017</v>
      </c>
      <c r="H202" s="3" t="n">
        <v>13692</v>
      </c>
      <c r="I202" s="3" t="n">
        <v>6665</v>
      </c>
      <c r="J202" s="3" t="n">
        <v>7030</v>
      </c>
      <c r="K202" s="3" t="n">
        <v>4971.3</v>
      </c>
      <c r="L202" s="4" t="n">
        <v>36.3080631</v>
      </c>
      <c r="M202" s="3" t="n">
        <v>8720.7</v>
      </c>
      <c r="N202" s="4" t="n">
        <v>63.6919369</v>
      </c>
    </row>
    <row r="203" customFormat="false" ht="15" hidden="false" customHeight="false" outlineLevel="0" collapsed="false">
      <c r="A203" s="2" t="s">
        <v>270</v>
      </c>
      <c r="B203" s="2" t="s">
        <v>15</v>
      </c>
      <c r="C203" s="2" t="s">
        <v>22</v>
      </c>
      <c r="D203" s="2" t="s">
        <v>17</v>
      </c>
      <c r="E203" s="2" t="s">
        <v>52</v>
      </c>
      <c r="F203" s="2" t="s">
        <v>49</v>
      </c>
      <c r="G203" s="2" t="n">
        <v>1985</v>
      </c>
      <c r="H203" s="3" t="n">
        <v>13683</v>
      </c>
      <c r="I203" s="3" t="n">
        <v>13689.3</v>
      </c>
      <c r="J203" s="3" t="n">
        <v>0</v>
      </c>
      <c r="K203" s="3" t="n">
        <v>13682.2</v>
      </c>
      <c r="L203" s="4" t="n">
        <v>99.99415333</v>
      </c>
      <c r="M203" s="3" t="n">
        <v>0.8</v>
      </c>
      <c r="N203" s="4" t="n">
        <v>0.005846671052</v>
      </c>
    </row>
    <row r="204" customFormat="false" ht="15" hidden="false" customHeight="false" outlineLevel="0" collapsed="false">
      <c r="A204" s="2" t="s">
        <v>271</v>
      </c>
      <c r="B204" s="2" t="s">
        <v>21</v>
      </c>
      <c r="C204" s="2" t="s">
        <v>22</v>
      </c>
      <c r="D204" s="2" t="s">
        <v>17</v>
      </c>
      <c r="E204" s="2" t="s">
        <v>23</v>
      </c>
      <c r="F204" s="2" t="s">
        <v>19</v>
      </c>
      <c r="G204" s="2" t="n">
        <v>1990</v>
      </c>
      <c r="H204" s="3" t="n">
        <v>13650.2</v>
      </c>
      <c r="I204" s="3" t="n">
        <v>12396.8</v>
      </c>
      <c r="J204" s="3" t="n">
        <v>1258.3</v>
      </c>
      <c r="K204" s="3" t="n">
        <v>10348.7</v>
      </c>
      <c r="L204" s="4" t="n">
        <v>75.81354119</v>
      </c>
      <c r="M204" s="3" t="n">
        <v>3301.5</v>
      </c>
      <c r="N204" s="4" t="n">
        <v>24.18645881</v>
      </c>
    </row>
    <row r="205" customFormat="false" ht="15" hidden="false" customHeight="false" outlineLevel="0" collapsed="false">
      <c r="A205" s="2" t="s">
        <v>272</v>
      </c>
      <c r="B205" s="2" t="s">
        <v>15</v>
      </c>
      <c r="C205" s="2" t="s">
        <v>22</v>
      </c>
      <c r="D205" s="2" t="s">
        <v>17</v>
      </c>
      <c r="E205" s="2" t="s">
        <v>273</v>
      </c>
      <c r="F205" s="2" t="s">
        <v>19</v>
      </c>
      <c r="G205" s="2" t="n">
        <v>2017</v>
      </c>
      <c r="H205" s="3" t="n">
        <v>13543.1</v>
      </c>
      <c r="I205" s="3" t="n">
        <v>12815.1</v>
      </c>
      <c r="J205" s="3" t="n">
        <v>728</v>
      </c>
      <c r="K205" s="3" t="n">
        <v>10726.1</v>
      </c>
      <c r="L205" s="4" t="n">
        <v>79.19974009</v>
      </c>
      <c r="M205" s="3" t="n">
        <v>2817</v>
      </c>
      <c r="N205" s="4" t="n">
        <v>20.80025991</v>
      </c>
    </row>
    <row r="206" customFormat="false" ht="15" hidden="false" customHeight="false" outlineLevel="0" collapsed="false">
      <c r="A206" s="2" t="s">
        <v>274</v>
      </c>
      <c r="B206" s="2" t="s">
        <v>21</v>
      </c>
      <c r="C206" s="2" t="s">
        <v>22</v>
      </c>
      <c r="D206" s="2" t="s">
        <v>17</v>
      </c>
      <c r="E206" s="2" t="s">
        <v>18</v>
      </c>
      <c r="F206" s="2" t="s">
        <v>19</v>
      </c>
      <c r="G206" s="2" t="n">
        <v>2016</v>
      </c>
      <c r="H206" s="3" t="n">
        <v>13532</v>
      </c>
      <c r="I206" s="3" t="n">
        <v>7853.3</v>
      </c>
      <c r="J206" s="3" t="n">
        <v>5683.7</v>
      </c>
      <c r="K206" s="3" t="n">
        <v>4660.7</v>
      </c>
      <c r="L206" s="4" t="n">
        <v>34.44206326</v>
      </c>
      <c r="M206" s="3" t="n">
        <v>8871.3</v>
      </c>
      <c r="N206" s="4" t="n">
        <v>65.55793674</v>
      </c>
    </row>
    <row r="207" customFormat="false" ht="15" hidden="false" customHeight="false" outlineLevel="0" collapsed="false">
      <c r="A207" s="2" t="s">
        <v>275</v>
      </c>
      <c r="B207" s="2" t="s">
        <v>15</v>
      </c>
      <c r="C207" s="2" t="s">
        <v>90</v>
      </c>
      <c r="D207" s="2" t="s">
        <v>25</v>
      </c>
      <c r="E207" s="2" t="s">
        <v>91</v>
      </c>
      <c r="F207" s="2" t="s">
        <v>19</v>
      </c>
      <c r="G207" s="2" t="n">
        <v>2016</v>
      </c>
      <c r="H207" s="3" t="n">
        <v>13503.4</v>
      </c>
      <c r="I207" s="3" t="n">
        <v>9602.3</v>
      </c>
      <c r="J207" s="3" t="n">
        <v>3932.5</v>
      </c>
      <c r="K207" s="3" t="n">
        <v>8044.7</v>
      </c>
      <c r="L207" s="4" t="n">
        <v>59.5753662</v>
      </c>
      <c r="M207" s="3" t="n">
        <v>5458.7</v>
      </c>
      <c r="N207" s="4" t="n">
        <v>40.4246338</v>
      </c>
    </row>
    <row r="208" customFormat="false" ht="15" hidden="false" customHeight="false" outlineLevel="0" collapsed="false">
      <c r="A208" s="2" t="s">
        <v>276</v>
      </c>
      <c r="B208" s="2" t="s">
        <v>15</v>
      </c>
      <c r="C208" s="2" t="s">
        <v>22</v>
      </c>
      <c r="D208" s="2" t="s">
        <v>17</v>
      </c>
      <c r="E208" s="2" t="s">
        <v>28</v>
      </c>
      <c r="F208" s="2" t="s">
        <v>19</v>
      </c>
      <c r="G208" s="2" t="n">
        <v>2013</v>
      </c>
      <c r="H208" s="3" t="n">
        <v>13490.4</v>
      </c>
      <c r="I208" s="3" t="n">
        <v>9955.4</v>
      </c>
      <c r="J208" s="3" t="n">
        <v>3540.8</v>
      </c>
      <c r="K208" s="3" t="n">
        <v>8582.9</v>
      </c>
      <c r="L208" s="4" t="n">
        <v>63.62227955</v>
      </c>
      <c r="M208" s="3" t="n">
        <v>4907.5</v>
      </c>
      <c r="N208" s="4" t="n">
        <v>36.37772045</v>
      </c>
    </row>
    <row r="209" customFormat="false" ht="15" hidden="false" customHeight="false" outlineLevel="0" collapsed="false">
      <c r="A209" s="2" t="s">
        <v>277</v>
      </c>
      <c r="B209" s="2" t="s">
        <v>15</v>
      </c>
      <c r="C209" s="2" t="s">
        <v>182</v>
      </c>
      <c r="D209" s="2" t="s">
        <v>17</v>
      </c>
      <c r="E209" s="2" t="s">
        <v>61</v>
      </c>
      <c r="F209" s="2" t="s">
        <v>19</v>
      </c>
      <c r="G209" s="2" t="n">
        <v>2012</v>
      </c>
      <c r="H209" s="3" t="n">
        <v>13468.7</v>
      </c>
      <c r="I209" s="3" t="n">
        <v>12222.3</v>
      </c>
      <c r="J209" s="3" t="n">
        <v>1249.7</v>
      </c>
      <c r="K209" s="3" t="n">
        <v>1202.8</v>
      </c>
      <c r="L209" s="4" t="n">
        <v>8.930334776</v>
      </c>
      <c r="M209" s="3" t="n">
        <v>12265.9</v>
      </c>
      <c r="N209" s="4" t="n">
        <v>91.06966522</v>
      </c>
    </row>
    <row r="210" customFormat="false" ht="15" hidden="false" customHeight="false" outlineLevel="0" collapsed="false">
      <c r="A210" s="2" t="s">
        <v>278</v>
      </c>
      <c r="B210" s="2" t="s">
        <v>15</v>
      </c>
      <c r="C210" s="2" t="s">
        <v>90</v>
      </c>
      <c r="D210" s="2" t="s">
        <v>25</v>
      </c>
      <c r="E210" s="2" t="s">
        <v>91</v>
      </c>
      <c r="F210" s="2" t="s">
        <v>49</v>
      </c>
      <c r="G210" s="2" t="n">
        <v>2003</v>
      </c>
      <c r="H210" s="3" t="n">
        <v>13433.6</v>
      </c>
      <c r="I210" s="3" t="n">
        <v>12366.7</v>
      </c>
      <c r="J210" s="3" t="n">
        <v>1072.9</v>
      </c>
      <c r="K210" s="3" t="n">
        <v>11154.7</v>
      </c>
      <c r="L210" s="4" t="n">
        <v>83.03582063</v>
      </c>
      <c r="M210" s="3" t="n">
        <v>2278.9</v>
      </c>
      <c r="N210" s="4" t="n">
        <v>16.96417937</v>
      </c>
    </row>
    <row r="211" customFormat="false" ht="15" hidden="false" customHeight="false" outlineLevel="0" collapsed="false">
      <c r="A211" s="2" t="s">
        <v>279</v>
      </c>
      <c r="B211" s="2" t="s">
        <v>15</v>
      </c>
      <c r="C211" s="2" t="s">
        <v>34</v>
      </c>
      <c r="D211" s="2" t="s">
        <v>17</v>
      </c>
      <c r="E211" s="2" t="s">
        <v>52</v>
      </c>
      <c r="F211" s="2" t="s">
        <v>49</v>
      </c>
      <c r="G211" s="2" t="n">
        <v>1967</v>
      </c>
      <c r="H211" s="3" t="n">
        <v>13404.2</v>
      </c>
      <c r="I211" s="3" t="n">
        <v>11623.7</v>
      </c>
      <c r="J211" s="3" t="n">
        <v>1790.5</v>
      </c>
      <c r="K211" s="3" t="n">
        <v>13400.7</v>
      </c>
      <c r="L211" s="4" t="n">
        <v>99.97388878</v>
      </c>
      <c r="M211" s="3" t="n">
        <v>3.5</v>
      </c>
      <c r="N211" s="4" t="n">
        <v>0.02611121887</v>
      </c>
    </row>
    <row r="212" customFormat="false" ht="15" hidden="false" customHeight="false" outlineLevel="0" collapsed="false">
      <c r="A212" s="2" t="s">
        <v>280</v>
      </c>
      <c r="B212" s="2" t="s">
        <v>15</v>
      </c>
      <c r="C212" s="2" t="s">
        <v>22</v>
      </c>
      <c r="D212" s="2" t="s">
        <v>17</v>
      </c>
      <c r="E212" s="2" t="s">
        <v>18</v>
      </c>
      <c r="F212" s="2" t="s">
        <v>19</v>
      </c>
      <c r="G212" s="2" t="n">
        <v>2006</v>
      </c>
      <c r="H212" s="3" t="n">
        <v>13398.3</v>
      </c>
      <c r="I212" s="3" t="n">
        <v>13409.8</v>
      </c>
      <c r="J212" s="3" t="n">
        <v>0</v>
      </c>
      <c r="K212" s="3" t="n">
        <v>4665.5</v>
      </c>
      <c r="L212" s="4" t="n">
        <v>34.82158184</v>
      </c>
      <c r="M212" s="3" t="n">
        <v>8732.8</v>
      </c>
      <c r="N212" s="4" t="n">
        <v>65.17841816</v>
      </c>
    </row>
    <row r="213" customFormat="false" ht="15" hidden="false" customHeight="false" outlineLevel="0" collapsed="false">
      <c r="A213" s="2" t="s">
        <v>281</v>
      </c>
      <c r="B213" s="2" t="s">
        <v>15</v>
      </c>
      <c r="C213" s="2" t="s">
        <v>22</v>
      </c>
      <c r="D213" s="2" t="s">
        <v>25</v>
      </c>
      <c r="E213" s="2" t="s">
        <v>26</v>
      </c>
      <c r="F213" s="2" t="s">
        <v>49</v>
      </c>
      <c r="G213" s="2" t="n">
        <v>1998</v>
      </c>
      <c r="H213" s="3" t="n">
        <v>13323.2</v>
      </c>
      <c r="I213" s="3" t="n">
        <v>8971.1</v>
      </c>
      <c r="J213" s="3" t="n">
        <v>4360.5</v>
      </c>
      <c r="K213" s="3" t="n">
        <v>5734.4</v>
      </c>
      <c r="L213" s="4" t="n">
        <v>43.04071094</v>
      </c>
      <c r="M213" s="3" t="n">
        <v>7588.8</v>
      </c>
      <c r="N213" s="4" t="n">
        <v>56.95928906</v>
      </c>
    </row>
    <row r="214" customFormat="false" ht="15" hidden="false" customHeight="false" outlineLevel="0" collapsed="false">
      <c r="A214" s="2" t="s">
        <v>282</v>
      </c>
      <c r="B214" s="2" t="s">
        <v>15</v>
      </c>
      <c r="C214" s="2" t="s">
        <v>22</v>
      </c>
      <c r="D214" s="2" t="s">
        <v>17</v>
      </c>
      <c r="E214" s="2" t="s">
        <v>18</v>
      </c>
      <c r="F214" s="2" t="s">
        <v>19</v>
      </c>
      <c r="G214" s="2" t="n">
        <v>1984</v>
      </c>
      <c r="H214" s="3" t="n">
        <v>13320.3</v>
      </c>
      <c r="I214" s="3" t="n">
        <v>8568.7</v>
      </c>
      <c r="J214" s="3" t="n">
        <v>4756.2</v>
      </c>
      <c r="K214" s="3" t="n">
        <v>464.4</v>
      </c>
      <c r="L214" s="4" t="n">
        <v>3.486407964</v>
      </c>
      <c r="M214" s="3" t="n">
        <v>12855.9</v>
      </c>
      <c r="N214" s="4" t="n">
        <v>96.51359204</v>
      </c>
    </row>
    <row r="215" customFormat="false" ht="15" hidden="false" customHeight="false" outlineLevel="0" collapsed="false">
      <c r="A215" s="2" t="s">
        <v>283</v>
      </c>
      <c r="B215" s="2" t="s">
        <v>15</v>
      </c>
      <c r="C215" s="2" t="s">
        <v>22</v>
      </c>
      <c r="D215" s="2" t="s">
        <v>25</v>
      </c>
      <c r="E215" s="2" t="s">
        <v>26</v>
      </c>
      <c r="F215" s="2" t="s">
        <v>19</v>
      </c>
      <c r="G215" s="2" t="n">
        <v>2017</v>
      </c>
      <c r="H215" s="3" t="n">
        <v>13291</v>
      </c>
      <c r="I215" s="3" t="n">
        <v>10113.7</v>
      </c>
      <c r="J215" s="3" t="n">
        <v>3183.3</v>
      </c>
      <c r="K215" s="3" t="n">
        <v>4068.1</v>
      </c>
      <c r="L215" s="4" t="n">
        <v>30.60793018</v>
      </c>
      <c r="M215" s="3" t="n">
        <v>9222.9</v>
      </c>
      <c r="N215" s="4" t="n">
        <v>69.39206982</v>
      </c>
    </row>
    <row r="216" customFormat="false" ht="15" hidden="false" customHeight="false" outlineLevel="0" collapsed="false">
      <c r="A216" s="2" t="s">
        <v>284</v>
      </c>
      <c r="B216" s="2" t="s">
        <v>79</v>
      </c>
      <c r="C216" s="2" t="s">
        <v>22</v>
      </c>
      <c r="D216" s="2" t="s">
        <v>17</v>
      </c>
      <c r="E216" s="2" t="s">
        <v>58</v>
      </c>
      <c r="F216" s="2" t="s">
        <v>49</v>
      </c>
      <c r="G216" s="2" t="n">
        <v>2008</v>
      </c>
      <c r="H216" s="3" t="n">
        <v>13287</v>
      </c>
      <c r="I216" s="3" t="n">
        <v>13294.9</v>
      </c>
      <c r="J216" s="3" t="n">
        <v>0</v>
      </c>
      <c r="K216" s="3" t="n">
        <v>13287</v>
      </c>
      <c r="L216" s="4" t="n">
        <v>100</v>
      </c>
      <c r="M216" s="3" t="n">
        <v>0</v>
      </c>
      <c r="N216" s="4" t="n">
        <v>0</v>
      </c>
    </row>
    <row r="217" customFormat="false" ht="15" hidden="false" customHeight="false" outlineLevel="0" collapsed="false">
      <c r="A217" s="2" t="s">
        <v>285</v>
      </c>
      <c r="B217" s="2" t="s">
        <v>15</v>
      </c>
      <c r="C217" s="2" t="s">
        <v>22</v>
      </c>
      <c r="D217" s="2" t="s">
        <v>17</v>
      </c>
      <c r="E217" s="2" t="s">
        <v>18</v>
      </c>
      <c r="F217" s="2" t="s">
        <v>19</v>
      </c>
      <c r="G217" s="2" t="n">
        <v>2008</v>
      </c>
      <c r="H217" s="3" t="n">
        <v>13281.8</v>
      </c>
      <c r="I217" s="3" t="n">
        <v>12309.2</v>
      </c>
      <c r="J217" s="3" t="n">
        <v>978.1</v>
      </c>
      <c r="K217" s="3" t="n">
        <v>11171.3</v>
      </c>
      <c r="L217" s="4" t="n">
        <v>84.10983451</v>
      </c>
      <c r="M217" s="3" t="n">
        <v>2110.5</v>
      </c>
      <c r="N217" s="4" t="n">
        <v>15.89016549</v>
      </c>
    </row>
    <row r="218" customFormat="false" ht="15" hidden="false" customHeight="false" outlineLevel="0" collapsed="false">
      <c r="A218" s="2" t="s">
        <v>286</v>
      </c>
      <c r="B218" s="2" t="s">
        <v>15</v>
      </c>
      <c r="C218" s="2" t="s">
        <v>22</v>
      </c>
      <c r="D218" s="2" t="s">
        <v>25</v>
      </c>
      <c r="E218" s="2" t="s">
        <v>26</v>
      </c>
      <c r="F218" s="2" t="s">
        <v>19</v>
      </c>
      <c r="G218" s="2" t="n">
        <v>2000</v>
      </c>
      <c r="H218" s="3" t="n">
        <v>13273.4</v>
      </c>
      <c r="I218" s="3" t="n">
        <v>4702.2</v>
      </c>
      <c r="J218" s="3" t="n">
        <v>8580.5</v>
      </c>
      <c r="K218" s="3" t="n">
        <v>575.4</v>
      </c>
      <c r="L218" s="4" t="n">
        <v>4.334985761</v>
      </c>
      <c r="M218" s="3" t="n">
        <v>12698</v>
      </c>
      <c r="N218" s="4" t="n">
        <v>95.66501424</v>
      </c>
    </row>
    <row r="219" customFormat="false" ht="15" hidden="false" customHeight="false" outlineLevel="0" collapsed="false">
      <c r="A219" s="2" t="s">
        <v>287</v>
      </c>
      <c r="B219" s="2" t="s">
        <v>79</v>
      </c>
      <c r="C219" s="2" t="s">
        <v>22</v>
      </c>
      <c r="D219" s="2" t="s">
        <v>17</v>
      </c>
      <c r="E219" s="2" t="s">
        <v>61</v>
      </c>
      <c r="F219" s="2" t="s">
        <v>49</v>
      </c>
      <c r="G219" s="2" t="n">
        <v>2009</v>
      </c>
      <c r="H219" s="3" t="n">
        <v>13220.4</v>
      </c>
      <c r="I219" s="3" t="n">
        <v>11619.7</v>
      </c>
      <c r="J219" s="3" t="n">
        <v>1604</v>
      </c>
      <c r="K219" s="3" t="n">
        <v>45.4</v>
      </c>
      <c r="L219" s="4" t="n">
        <v>0.3434086714</v>
      </c>
      <c r="M219" s="3" t="n">
        <v>13175</v>
      </c>
      <c r="N219" s="4" t="n">
        <v>99.65659133</v>
      </c>
    </row>
    <row r="220" customFormat="false" ht="15" hidden="false" customHeight="false" outlineLevel="0" collapsed="false">
      <c r="A220" s="2" t="s">
        <v>288</v>
      </c>
      <c r="B220" s="2" t="s">
        <v>15</v>
      </c>
      <c r="C220" s="2" t="s">
        <v>22</v>
      </c>
      <c r="D220" s="2" t="s">
        <v>17</v>
      </c>
      <c r="E220" s="2" t="s">
        <v>23</v>
      </c>
      <c r="F220" s="2" t="s">
        <v>19</v>
      </c>
      <c r="G220" s="2" t="n">
        <v>1999</v>
      </c>
      <c r="H220" s="3" t="n">
        <v>13208.3</v>
      </c>
      <c r="I220" s="3" t="n">
        <v>12134.4</v>
      </c>
      <c r="J220" s="3" t="n">
        <v>1076.8</v>
      </c>
      <c r="K220" s="3" t="n">
        <v>11821.4</v>
      </c>
      <c r="L220" s="4" t="n">
        <v>89.49978423</v>
      </c>
      <c r="M220" s="3" t="n">
        <v>1386.9</v>
      </c>
      <c r="N220" s="4" t="n">
        <v>10.50021577</v>
      </c>
    </row>
    <row r="221" customFormat="false" ht="15" hidden="false" customHeight="false" outlineLevel="0" collapsed="false">
      <c r="A221" s="2" t="s">
        <v>289</v>
      </c>
      <c r="B221" s="2" t="s">
        <v>15</v>
      </c>
      <c r="C221" s="2" t="s">
        <v>22</v>
      </c>
      <c r="D221" s="2" t="s">
        <v>17</v>
      </c>
      <c r="E221" s="2" t="s">
        <v>28</v>
      </c>
      <c r="F221" s="2" t="s">
        <v>19</v>
      </c>
      <c r="G221" s="2" t="n">
        <v>2010</v>
      </c>
      <c r="H221" s="3" t="n">
        <v>13065.7</v>
      </c>
      <c r="I221" s="3" t="n">
        <v>7612.4</v>
      </c>
      <c r="J221" s="3" t="n">
        <v>5460.1</v>
      </c>
      <c r="K221" s="3" t="n">
        <v>5541.7</v>
      </c>
      <c r="L221" s="4" t="n">
        <v>42.41410717</v>
      </c>
      <c r="M221" s="3" t="n">
        <v>7524</v>
      </c>
      <c r="N221" s="4" t="n">
        <v>57.58589283</v>
      </c>
    </row>
    <row r="222" customFormat="false" ht="15" hidden="false" customHeight="false" outlineLevel="0" collapsed="false">
      <c r="A222" s="2" t="s">
        <v>290</v>
      </c>
      <c r="B222" s="2" t="s">
        <v>15</v>
      </c>
      <c r="C222" s="2" t="s">
        <v>22</v>
      </c>
      <c r="D222" s="2" t="s">
        <v>17</v>
      </c>
      <c r="E222" s="2" t="s">
        <v>18</v>
      </c>
      <c r="F222" s="2" t="s">
        <v>19</v>
      </c>
      <c r="G222" s="2" t="n">
        <v>2018</v>
      </c>
      <c r="H222" s="3" t="n">
        <v>13039.8</v>
      </c>
      <c r="I222" s="3" t="n">
        <v>12982.3</v>
      </c>
      <c r="J222" s="3" t="n">
        <v>59.7</v>
      </c>
      <c r="K222" s="3" t="n">
        <v>7413.1</v>
      </c>
      <c r="L222" s="4" t="n">
        <v>56.84979831</v>
      </c>
      <c r="M222" s="3" t="n">
        <v>5626.7</v>
      </c>
      <c r="N222" s="4" t="n">
        <v>43.15020169</v>
      </c>
    </row>
    <row r="223" customFormat="false" ht="15" hidden="false" customHeight="false" outlineLevel="0" collapsed="false">
      <c r="A223" s="2" t="s">
        <v>291</v>
      </c>
      <c r="B223" s="2" t="s">
        <v>15</v>
      </c>
      <c r="C223" s="2" t="s">
        <v>22</v>
      </c>
      <c r="D223" s="2" t="s">
        <v>17</v>
      </c>
      <c r="E223" s="2" t="s">
        <v>292</v>
      </c>
      <c r="F223" s="2" t="s">
        <v>49</v>
      </c>
      <c r="G223" s="2" t="n">
        <v>1998</v>
      </c>
      <c r="H223" s="3" t="n">
        <v>13009.4</v>
      </c>
      <c r="I223" s="3" t="n">
        <v>13017.1</v>
      </c>
      <c r="J223" s="3" t="n">
        <v>0</v>
      </c>
      <c r="K223" s="3" t="n">
        <v>12963.5</v>
      </c>
      <c r="L223" s="4" t="n">
        <v>99.64717819</v>
      </c>
      <c r="M223" s="3" t="n">
        <v>45.9</v>
      </c>
      <c r="N223" s="4" t="n">
        <v>0.3528218058</v>
      </c>
    </row>
    <row r="224" customFormat="false" ht="15" hidden="false" customHeight="false" outlineLevel="0" collapsed="false">
      <c r="A224" s="2" t="s">
        <v>293</v>
      </c>
      <c r="B224" s="2" t="s">
        <v>15</v>
      </c>
      <c r="C224" s="2" t="s">
        <v>22</v>
      </c>
      <c r="D224" s="2" t="s">
        <v>17</v>
      </c>
      <c r="E224" s="2" t="s">
        <v>18</v>
      </c>
      <c r="F224" s="2" t="s">
        <v>19</v>
      </c>
      <c r="G224" s="2" t="n">
        <v>2009</v>
      </c>
      <c r="H224" s="3" t="n">
        <v>12994.4</v>
      </c>
      <c r="I224" s="3" t="n">
        <v>12999.7</v>
      </c>
      <c r="J224" s="3" t="n">
        <v>0</v>
      </c>
      <c r="K224" s="3" t="n">
        <v>5593.4</v>
      </c>
      <c r="L224" s="4" t="n">
        <v>43.04469618</v>
      </c>
      <c r="M224" s="3" t="n">
        <v>7401</v>
      </c>
      <c r="N224" s="4" t="n">
        <v>56.95530382</v>
      </c>
    </row>
    <row r="225" customFormat="false" ht="15" hidden="false" customHeight="false" outlineLevel="0" collapsed="false">
      <c r="A225" s="2" t="s">
        <v>294</v>
      </c>
      <c r="B225" s="2" t="s">
        <v>79</v>
      </c>
      <c r="C225" s="2" t="s">
        <v>148</v>
      </c>
      <c r="D225" s="2" t="s">
        <v>17</v>
      </c>
      <c r="E225" s="2" t="s">
        <v>23</v>
      </c>
      <c r="F225" s="2" t="s">
        <v>49</v>
      </c>
      <c r="G225" s="2" t="n">
        <v>1972</v>
      </c>
      <c r="H225" s="3" t="n">
        <v>12992.2</v>
      </c>
      <c r="I225" s="3" t="n">
        <v>10479.5</v>
      </c>
      <c r="J225" s="3" t="n">
        <v>2516.3</v>
      </c>
      <c r="K225" s="3" t="n">
        <v>12992.2</v>
      </c>
      <c r="L225" s="4" t="n">
        <v>100</v>
      </c>
      <c r="M225" s="3" t="n">
        <v>0</v>
      </c>
      <c r="N225" s="4" t="n">
        <v>0</v>
      </c>
    </row>
    <row r="226" customFormat="false" ht="15" hidden="false" customHeight="false" outlineLevel="0" collapsed="false">
      <c r="A226" s="2" t="s">
        <v>295</v>
      </c>
      <c r="B226" s="2" t="s">
        <v>21</v>
      </c>
      <c r="C226" s="2" t="s">
        <v>22</v>
      </c>
      <c r="D226" s="2" t="s">
        <v>25</v>
      </c>
      <c r="E226" s="2" t="s">
        <v>83</v>
      </c>
      <c r="F226" s="2" t="s">
        <v>19</v>
      </c>
      <c r="G226" s="2" t="n">
        <v>2013</v>
      </c>
      <c r="H226" s="3" t="n">
        <v>12985.2</v>
      </c>
      <c r="I226" s="3" t="n">
        <v>8772.2</v>
      </c>
      <c r="J226" s="3" t="n">
        <v>4216.8</v>
      </c>
      <c r="K226" s="3" t="n">
        <v>2160.8</v>
      </c>
      <c r="L226" s="4" t="n">
        <v>16.64048301</v>
      </c>
      <c r="M226" s="3" t="n">
        <v>10824.4</v>
      </c>
      <c r="N226" s="4" t="n">
        <v>83.35951699</v>
      </c>
    </row>
    <row r="227" customFormat="false" ht="15" hidden="false" customHeight="false" outlineLevel="0" collapsed="false">
      <c r="A227" s="2" t="s">
        <v>296</v>
      </c>
      <c r="B227" s="2" t="s">
        <v>15</v>
      </c>
      <c r="C227" s="2" t="s">
        <v>22</v>
      </c>
      <c r="D227" s="2" t="s">
        <v>25</v>
      </c>
      <c r="E227" s="2" t="s">
        <v>26</v>
      </c>
      <c r="F227" s="2" t="s">
        <v>19</v>
      </c>
      <c r="G227" s="2" t="n">
        <v>2003</v>
      </c>
      <c r="H227" s="3" t="n">
        <v>12929.7</v>
      </c>
      <c r="I227" s="3" t="n">
        <v>5938.5</v>
      </c>
      <c r="J227" s="3" t="n">
        <v>6997.8</v>
      </c>
      <c r="K227" s="3" t="n">
        <v>1490.1</v>
      </c>
      <c r="L227" s="4" t="n">
        <v>11.52462934</v>
      </c>
      <c r="M227" s="3" t="n">
        <v>11439.6</v>
      </c>
      <c r="N227" s="4" t="n">
        <v>88.47537066</v>
      </c>
    </row>
    <row r="228" customFormat="false" ht="15" hidden="false" customHeight="false" outlineLevel="0" collapsed="false">
      <c r="A228" s="2" t="s">
        <v>297</v>
      </c>
      <c r="B228" s="2" t="s">
        <v>15</v>
      </c>
      <c r="C228" s="2" t="s">
        <v>243</v>
      </c>
      <c r="D228" s="2" t="s">
        <v>25</v>
      </c>
      <c r="E228" s="2" t="s">
        <v>83</v>
      </c>
      <c r="F228" s="2" t="s">
        <v>19</v>
      </c>
      <c r="G228" s="2" t="n">
        <v>1995</v>
      </c>
      <c r="H228" s="3" t="n">
        <v>12857.9</v>
      </c>
      <c r="I228" s="3" t="n">
        <v>11010.3</v>
      </c>
      <c r="J228" s="3" t="n">
        <v>1853</v>
      </c>
      <c r="K228" s="3" t="n">
        <v>3301</v>
      </c>
      <c r="L228" s="4" t="n">
        <v>25.67293259</v>
      </c>
      <c r="M228" s="3" t="n">
        <v>9556.9</v>
      </c>
      <c r="N228" s="4" t="n">
        <v>74.32706741</v>
      </c>
    </row>
    <row r="229" customFormat="false" ht="15" hidden="false" customHeight="false" outlineLevel="0" collapsed="false">
      <c r="A229" s="2" t="s">
        <v>298</v>
      </c>
      <c r="B229" s="2" t="s">
        <v>15</v>
      </c>
      <c r="C229" s="2" t="s">
        <v>22</v>
      </c>
      <c r="D229" s="2" t="s">
        <v>17</v>
      </c>
      <c r="E229" s="2" t="s">
        <v>18</v>
      </c>
      <c r="F229" s="2" t="s">
        <v>19</v>
      </c>
      <c r="G229" s="2" t="n">
        <v>2015</v>
      </c>
      <c r="H229" s="3" t="n">
        <v>12823.8</v>
      </c>
      <c r="I229" s="3" t="n">
        <v>5535</v>
      </c>
      <c r="J229" s="3" t="n">
        <v>7288.8</v>
      </c>
      <c r="K229" s="3" t="n">
        <v>2109.2</v>
      </c>
      <c r="L229" s="4" t="n">
        <v>16.44754285</v>
      </c>
      <c r="M229" s="3" t="n">
        <v>10714.6</v>
      </c>
      <c r="N229" s="4" t="n">
        <v>83.55245715</v>
      </c>
    </row>
    <row r="230" customFormat="false" ht="15" hidden="false" customHeight="false" outlineLevel="0" collapsed="false">
      <c r="A230" s="2" t="s">
        <v>299</v>
      </c>
      <c r="B230" s="2" t="s">
        <v>15</v>
      </c>
      <c r="C230" s="2" t="s">
        <v>90</v>
      </c>
      <c r="D230" s="2" t="s">
        <v>25</v>
      </c>
      <c r="E230" s="2" t="s">
        <v>91</v>
      </c>
      <c r="F230" s="2" t="s">
        <v>19</v>
      </c>
      <c r="G230" s="2" t="n">
        <v>2018</v>
      </c>
      <c r="H230" s="3" t="n">
        <v>12810.9</v>
      </c>
      <c r="I230" s="3" t="n">
        <v>6582.9</v>
      </c>
      <c r="J230" s="3" t="n">
        <v>6236.2</v>
      </c>
      <c r="K230" s="3" t="n">
        <v>1707.5</v>
      </c>
      <c r="L230" s="4" t="n">
        <v>13.3284937</v>
      </c>
      <c r="M230" s="3" t="n">
        <v>11103.4</v>
      </c>
      <c r="N230" s="4" t="n">
        <v>86.6715063</v>
      </c>
    </row>
    <row r="231" customFormat="false" ht="15" hidden="false" customHeight="false" outlineLevel="0" collapsed="false">
      <c r="A231" s="2" t="s">
        <v>300</v>
      </c>
      <c r="B231" s="2" t="s">
        <v>15</v>
      </c>
      <c r="C231" s="2" t="s">
        <v>22</v>
      </c>
      <c r="D231" s="2" t="s">
        <v>25</v>
      </c>
      <c r="E231" s="2" t="s">
        <v>26</v>
      </c>
      <c r="F231" s="2" t="s">
        <v>49</v>
      </c>
      <c r="G231" s="2" t="n">
        <v>2000</v>
      </c>
      <c r="H231" s="3" t="n">
        <v>12799.8</v>
      </c>
      <c r="I231" s="3" t="n">
        <v>5018.4</v>
      </c>
      <c r="J231" s="3" t="n">
        <v>7786.4</v>
      </c>
      <c r="K231" s="3" t="n">
        <v>1713.9</v>
      </c>
      <c r="L231" s="4" t="n">
        <v>13.39005297</v>
      </c>
      <c r="M231" s="3" t="n">
        <v>11085.9</v>
      </c>
      <c r="N231" s="4" t="n">
        <v>86.60994703</v>
      </c>
    </row>
    <row r="232" customFormat="false" ht="15" hidden="false" customHeight="false" outlineLevel="0" collapsed="false">
      <c r="A232" s="2" t="s">
        <v>301</v>
      </c>
      <c r="B232" s="2" t="s">
        <v>15</v>
      </c>
      <c r="C232" s="2" t="s">
        <v>95</v>
      </c>
      <c r="D232" s="2" t="s">
        <v>17</v>
      </c>
      <c r="E232" s="2" t="s">
        <v>52</v>
      </c>
      <c r="F232" s="2" t="s">
        <v>49</v>
      </c>
      <c r="G232" s="2" t="n">
        <v>2011</v>
      </c>
      <c r="H232" s="3" t="n">
        <v>12788.3</v>
      </c>
      <c r="I232" s="3" t="n">
        <v>12025.6</v>
      </c>
      <c r="J232" s="3" t="n">
        <v>766.3</v>
      </c>
      <c r="K232" s="3" t="n">
        <v>11526.4</v>
      </c>
      <c r="L232" s="4" t="n">
        <v>90.13238663</v>
      </c>
      <c r="M232" s="3" t="n">
        <v>1261.9</v>
      </c>
      <c r="N232" s="4" t="n">
        <v>9.867613365</v>
      </c>
    </row>
    <row r="233" customFormat="false" ht="15" hidden="false" customHeight="false" outlineLevel="0" collapsed="false">
      <c r="A233" s="2" t="s">
        <v>302</v>
      </c>
      <c r="B233" s="2" t="s">
        <v>15</v>
      </c>
      <c r="C233" s="2" t="s">
        <v>22</v>
      </c>
      <c r="D233" s="2" t="s">
        <v>17</v>
      </c>
      <c r="E233" s="2" t="s">
        <v>18</v>
      </c>
      <c r="F233" s="2" t="s">
        <v>19</v>
      </c>
      <c r="G233" s="2" t="n">
        <v>2015</v>
      </c>
      <c r="H233" s="3" t="n">
        <v>12751</v>
      </c>
      <c r="I233" s="3" t="n">
        <v>8481.6</v>
      </c>
      <c r="J233" s="3" t="n">
        <v>4272.5</v>
      </c>
      <c r="K233" s="3" t="n">
        <v>5659.8</v>
      </c>
      <c r="L233" s="4" t="n">
        <v>44.38710689</v>
      </c>
      <c r="M233" s="3" t="n">
        <v>7091.2</v>
      </c>
      <c r="N233" s="4" t="n">
        <v>55.61289311</v>
      </c>
    </row>
    <row r="234" customFormat="false" ht="15" hidden="false" customHeight="false" outlineLevel="0" collapsed="false">
      <c r="A234" s="2" t="s">
        <v>303</v>
      </c>
      <c r="B234" s="2" t="s">
        <v>21</v>
      </c>
      <c r="C234" s="2" t="s">
        <v>46</v>
      </c>
      <c r="D234" s="2" t="s">
        <v>47</v>
      </c>
      <c r="E234" s="2" t="s">
        <v>48</v>
      </c>
      <c r="F234" s="2" t="s">
        <v>49</v>
      </c>
      <c r="G234" s="2" t="n">
        <v>2015</v>
      </c>
      <c r="H234" s="3" t="n">
        <v>12716.2</v>
      </c>
      <c r="I234" s="3" t="n">
        <v>2648.7</v>
      </c>
      <c r="J234" s="3" t="n">
        <v>10073.4</v>
      </c>
      <c r="K234" s="3" t="n">
        <v>12242.6</v>
      </c>
      <c r="L234" s="4" t="n">
        <v>96.27561693</v>
      </c>
      <c r="M234" s="3" t="n">
        <v>473.6</v>
      </c>
      <c r="N234" s="4" t="n">
        <v>3.72438307</v>
      </c>
    </row>
    <row r="235" customFormat="false" ht="15" hidden="false" customHeight="false" outlineLevel="0" collapsed="false">
      <c r="A235" s="2" t="s">
        <v>304</v>
      </c>
      <c r="B235" s="2" t="s">
        <v>15</v>
      </c>
      <c r="C235" s="2" t="s">
        <v>22</v>
      </c>
      <c r="D235" s="2" t="s">
        <v>25</v>
      </c>
      <c r="E235" s="2" t="s">
        <v>26</v>
      </c>
      <c r="F235" s="2" t="s">
        <v>19</v>
      </c>
      <c r="G235" s="2" t="n">
        <v>2004</v>
      </c>
      <c r="H235" s="3" t="n">
        <v>12713.2</v>
      </c>
      <c r="I235" s="3" t="n">
        <v>12596.1</v>
      </c>
      <c r="J235" s="3" t="n">
        <v>124.8</v>
      </c>
      <c r="K235" s="3" t="n">
        <v>1284.7</v>
      </c>
      <c r="L235" s="4" t="n">
        <v>10.10524494</v>
      </c>
      <c r="M235" s="3" t="n">
        <v>11428.5</v>
      </c>
      <c r="N235" s="4" t="n">
        <v>89.89475506</v>
      </c>
    </row>
    <row r="236" customFormat="false" ht="15" hidden="false" customHeight="false" outlineLevel="0" collapsed="false">
      <c r="A236" s="2" t="s">
        <v>305</v>
      </c>
      <c r="B236" s="2" t="s">
        <v>21</v>
      </c>
      <c r="C236" s="2" t="s">
        <v>22</v>
      </c>
      <c r="D236" s="2" t="s">
        <v>17</v>
      </c>
      <c r="E236" s="2" t="s">
        <v>23</v>
      </c>
      <c r="F236" s="2" t="s">
        <v>19</v>
      </c>
      <c r="G236" s="2" t="n">
        <v>2008</v>
      </c>
      <c r="H236" s="3" t="n">
        <v>12700.7</v>
      </c>
      <c r="I236" s="3" t="n">
        <v>8281.2</v>
      </c>
      <c r="J236" s="3" t="n">
        <v>4423.1</v>
      </c>
      <c r="K236" s="3" t="n">
        <v>7763.9</v>
      </c>
      <c r="L236" s="4" t="n">
        <v>61.12970151</v>
      </c>
      <c r="M236" s="3" t="n">
        <v>4936.8</v>
      </c>
      <c r="N236" s="4" t="n">
        <v>38.87029849</v>
      </c>
    </row>
    <row r="237" customFormat="false" ht="15" hidden="false" customHeight="false" outlineLevel="0" collapsed="false">
      <c r="A237" s="2" t="s">
        <v>306</v>
      </c>
      <c r="B237" s="2" t="s">
        <v>15</v>
      </c>
      <c r="C237" s="2" t="s">
        <v>34</v>
      </c>
      <c r="D237" s="2" t="s">
        <v>17</v>
      </c>
      <c r="E237" s="2" t="s">
        <v>23</v>
      </c>
      <c r="F237" s="2" t="s">
        <v>19</v>
      </c>
      <c r="G237" s="2" t="n">
        <v>2010</v>
      </c>
      <c r="H237" s="3" t="n">
        <v>12650.8</v>
      </c>
      <c r="I237" s="3" t="n">
        <v>11398.2</v>
      </c>
      <c r="J237" s="3" t="n">
        <v>1255.5</v>
      </c>
      <c r="K237" s="3" t="n">
        <v>5777.3</v>
      </c>
      <c r="L237" s="4" t="n">
        <v>45.66746767</v>
      </c>
      <c r="M237" s="3" t="n">
        <v>6873.5</v>
      </c>
      <c r="N237" s="4" t="n">
        <v>54.33253233</v>
      </c>
    </row>
    <row r="238" customFormat="false" ht="15" hidden="false" customHeight="false" outlineLevel="0" collapsed="false">
      <c r="A238" s="2" t="s">
        <v>307</v>
      </c>
      <c r="B238" s="2" t="s">
        <v>15</v>
      </c>
      <c r="C238" s="2" t="s">
        <v>16</v>
      </c>
      <c r="D238" s="2" t="s">
        <v>17</v>
      </c>
      <c r="E238" s="2" t="s">
        <v>23</v>
      </c>
      <c r="F238" s="2" t="s">
        <v>19</v>
      </c>
      <c r="G238" s="2" t="n">
        <v>2001</v>
      </c>
      <c r="H238" s="3" t="n">
        <v>12647.5</v>
      </c>
      <c r="I238" s="3" t="n">
        <v>11934</v>
      </c>
      <c r="J238" s="3" t="n">
        <v>715.4</v>
      </c>
      <c r="K238" s="3" t="n">
        <v>10362.7</v>
      </c>
      <c r="L238" s="4" t="n">
        <v>81.93476972</v>
      </c>
      <c r="M238" s="3" t="n">
        <v>2284.8</v>
      </c>
      <c r="N238" s="4" t="n">
        <v>18.06523028</v>
      </c>
    </row>
    <row r="239" customFormat="false" ht="15" hidden="false" customHeight="false" outlineLevel="0" collapsed="false">
      <c r="A239" s="2" t="s">
        <v>308</v>
      </c>
      <c r="B239" s="2" t="s">
        <v>15</v>
      </c>
      <c r="C239" s="2" t="s">
        <v>22</v>
      </c>
      <c r="D239" s="2" t="s">
        <v>17</v>
      </c>
      <c r="E239" s="2" t="s">
        <v>18</v>
      </c>
      <c r="F239" s="2" t="s">
        <v>19</v>
      </c>
      <c r="G239" s="2" t="n">
        <v>2000</v>
      </c>
      <c r="H239" s="3" t="n">
        <v>12593.2</v>
      </c>
      <c r="I239" s="3" t="n">
        <v>6266</v>
      </c>
      <c r="J239" s="3" t="n">
        <v>6330.7</v>
      </c>
      <c r="K239" s="3" t="n">
        <v>351.5</v>
      </c>
      <c r="L239" s="4" t="n">
        <v>2.791188896</v>
      </c>
      <c r="M239" s="3" t="n">
        <v>12241.7</v>
      </c>
      <c r="N239" s="4" t="n">
        <v>97.2088111</v>
      </c>
    </row>
    <row r="240" customFormat="false" ht="15" hidden="false" customHeight="false" outlineLevel="0" collapsed="false">
      <c r="A240" s="2" t="s">
        <v>309</v>
      </c>
      <c r="B240" s="2" t="s">
        <v>21</v>
      </c>
      <c r="C240" s="2" t="s">
        <v>34</v>
      </c>
      <c r="D240" s="2" t="s">
        <v>17</v>
      </c>
      <c r="E240" s="2" t="s">
        <v>23</v>
      </c>
      <c r="F240" s="2" t="s">
        <v>19</v>
      </c>
      <c r="G240" s="2" t="n">
        <v>2013</v>
      </c>
      <c r="H240" s="3" t="n">
        <v>12593</v>
      </c>
      <c r="I240" s="3" t="n">
        <v>12542.7</v>
      </c>
      <c r="J240" s="3" t="n">
        <v>29.5</v>
      </c>
      <c r="K240" s="3" t="n">
        <v>3706.6</v>
      </c>
      <c r="L240" s="4" t="n">
        <v>29.43381244</v>
      </c>
      <c r="M240" s="3" t="n">
        <v>8886.4</v>
      </c>
      <c r="N240" s="4" t="n">
        <v>70.56618756</v>
      </c>
    </row>
    <row r="241" customFormat="false" ht="15" hidden="false" customHeight="false" outlineLevel="0" collapsed="false">
      <c r="A241" s="2" t="s">
        <v>310</v>
      </c>
      <c r="B241" s="2" t="s">
        <v>15</v>
      </c>
      <c r="C241" s="2" t="s">
        <v>34</v>
      </c>
      <c r="D241" s="2" t="s">
        <v>17</v>
      </c>
      <c r="E241" s="2" t="s">
        <v>52</v>
      </c>
      <c r="F241" s="2" t="s">
        <v>49</v>
      </c>
      <c r="G241" s="2" t="n">
        <v>1964</v>
      </c>
      <c r="H241" s="3" t="n">
        <v>12566.2</v>
      </c>
      <c r="I241" s="3" t="n">
        <v>4905.7</v>
      </c>
      <c r="J241" s="3" t="n">
        <v>7658.9</v>
      </c>
      <c r="K241" s="3" t="n">
        <v>12335.7</v>
      </c>
      <c r="L241" s="4" t="n">
        <v>98.16571438</v>
      </c>
      <c r="M241" s="3" t="n">
        <v>230.5</v>
      </c>
      <c r="N241" s="4" t="n">
        <v>1.834285623</v>
      </c>
    </row>
    <row r="242" customFormat="false" ht="15" hidden="false" customHeight="false" outlineLevel="0" collapsed="false">
      <c r="A242" s="2" t="s">
        <v>311</v>
      </c>
      <c r="B242" s="2" t="s">
        <v>15</v>
      </c>
      <c r="C242" s="2" t="s">
        <v>22</v>
      </c>
      <c r="D242" s="2" t="s">
        <v>17</v>
      </c>
      <c r="E242" s="2" t="s">
        <v>23</v>
      </c>
      <c r="F242" s="2" t="s">
        <v>19</v>
      </c>
      <c r="G242" s="2" t="n">
        <v>1939</v>
      </c>
      <c r="H242" s="3" t="n">
        <v>12421.7</v>
      </c>
      <c r="I242" s="3" t="n">
        <v>11999.7</v>
      </c>
      <c r="J242" s="3" t="n">
        <v>421.9</v>
      </c>
      <c r="K242" s="3" t="n">
        <v>9162.6</v>
      </c>
      <c r="L242" s="4" t="n">
        <v>73.7628505</v>
      </c>
      <c r="M242" s="3" t="n">
        <v>3259.1</v>
      </c>
      <c r="N242" s="4" t="n">
        <v>26.2371495</v>
      </c>
    </row>
    <row r="243" customFormat="false" ht="15" hidden="false" customHeight="false" outlineLevel="0" collapsed="false">
      <c r="A243" s="2" t="s">
        <v>312</v>
      </c>
      <c r="B243" s="2" t="s">
        <v>15</v>
      </c>
      <c r="C243" s="2" t="s">
        <v>129</v>
      </c>
      <c r="D243" s="2" t="s">
        <v>130</v>
      </c>
      <c r="E243" s="2" t="s">
        <v>61</v>
      </c>
      <c r="F243" s="2" t="s">
        <v>19</v>
      </c>
      <c r="G243" s="2" t="n">
        <v>2014</v>
      </c>
      <c r="H243" s="3" t="n">
        <v>12403.3</v>
      </c>
      <c r="I243" s="3" t="n">
        <v>7261.2</v>
      </c>
      <c r="J243" s="3" t="n">
        <v>5145.8</v>
      </c>
      <c r="K243" s="3" t="n">
        <v>376.4</v>
      </c>
      <c r="L243" s="4" t="n">
        <v>3.034676256</v>
      </c>
      <c r="M243" s="3" t="n">
        <v>12026.9</v>
      </c>
      <c r="N243" s="4" t="n">
        <v>96.96532374</v>
      </c>
    </row>
    <row r="244" customFormat="false" ht="15" hidden="false" customHeight="false" outlineLevel="0" collapsed="false">
      <c r="A244" s="2" t="s">
        <v>313</v>
      </c>
      <c r="B244" s="2" t="s">
        <v>15</v>
      </c>
      <c r="C244" s="2" t="s">
        <v>22</v>
      </c>
      <c r="D244" s="2" t="s">
        <v>25</v>
      </c>
      <c r="E244" s="2" t="s">
        <v>26</v>
      </c>
      <c r="F244" s="2" t="s">
        <v>19</v>
      </c>
      <c r="G244" s="2" t="n">
        <v>2015</v>
      </c>
      <c r="H244" s="3" t="n">
        <v>12394.6</v>
      </c>
      <c r="I244" s="3" t="n">
        <v>4419.4</v>
      </c>
      <c r="J244" s="3" t="n">
        <v>7981.5</v>
      </c>
      <c r="K244" s="3" t="n">
        <v>1528.1</v>
      </c>
      <c r="L244" s="4" t="n">
        <v>12.32875607</v>
      </c>
      <c r="M244" s="3" t="n">
        <v>10866.5</v>
      </c>
      <c r="N244" s="4" t="n">
        <v>87.67124393</v>
      </c>
    </row>
    <row r="245" customFormat="false" ht="15" hidden="false" customHeight="false" outlineLevel="0" collapsed="false">
      <c r="A245" s="2" t="s">
        <v>314</v>
      </c>
      <c r="B245" s="2" t="s">
        <v>15</v>
      </c>
      <c r="C245" s="2" t="s">
        <v>167</v>
      </c>
      <c r="D245" s="2" t="s">
        <v>168</v>
      </c>
      <c r="E245" s="2" t="s">
        <v>169</v>
      </c>
      <c r="F245" s="2" t="s">
        <v>19</v>
      </c>
      <c r="G245" s="2" t="n">
        <v>2009</v>
      </c>
      <c r="H245" s="3" t="n">
        <v>12324.9</v>
      </c>
      <c r="I245" s="3" t="n">
        <v>10393.6</v>
      </c>
      <c r="J245" s="3" t="n">
        <v>1924.7</v>
      </c>
      <c r="K245" s="3" t="n">
        <v>8841.9</v>
      </c>
      <c r="L245" s="4" t="n">
        <v>71.74013582</v>
      </c>
      <c r="M245" s="3" t="n">
        <v>3483</v>
      </c>
      <c r="N245" s="4" t="n">
        <v>28.25986418</v>
      </c>
    </row>
    <row r="246" customFormat="false" ht="15" hidden="false" customHeight="false" outlineLevel="0" collapsed="false">
      <c r="A246" s="2" t="s">
        <v>315</v>
      </c>
      <c r="B246" s="2" t="s">
        <v>15</v>
      </c>
      <c r="C246" s="2" t="s">
        <v>22</v>
      </c>
      <c r="D246" s="2" t="s">
        <v>25</v>
      </c>
      <c r="E246" s="2" t="s">
        <v>18</v>
      </c>
      <c r="F246" s="2" t="s">
        <v>19</v>
      </c>
      <c r="G246" s="2" t="n">
        <v>2017</v>
      </c>
      <c r="H246" s="3" t="n">
        <v>12209.5</v>
      </c>
      <c r="I246" s="3" t="n">
        <v>8937.9</v>
      </c>
      <c r="J246" s="3" t="n">
        <v>3281.7</v>
      </c>
      <c r="K246" s="3" t="n">
        <v>3226.5</v>
      </c>
      <c r="L246" s="4" t="n">
        <v>26.42614358</v>
      </c>
      <c r="M246" s="3" t="n">
        <v>8983</v>
      </c>
      <c r="N246" s="4" t="n">
        <v>73.57385642</v>
      </c>
    </row>
    <row r="247" customFormat="false" ht="15" hidden="false" customHeight="false" outlineLevel="0" collapsed="false">
      <c r="A247" s="2" t="s">
        <v>316</v>
      </c>
      <c r="B247" s="2" t="s">
        <v>15</v>
      </c>
      <c r="C247" s="2" t="s">
        <v>90</v>
      </c>
      <c r="D247" s="2" t="s">
        <v>25</v>
      </c>
      <c r="E247" s="2" t="s">
        <v>91</v>
      </c>
      <c r="F247" s="2" t="s">
        <v>49</v>
      </c>
      <c r="G247" s="2" t="n">
        <v>2014</v>
      </c>
      <c r="H247" s="3" t="n">
        <v>12151.3</v>
      </c>
      <c r="I247" s="3" t="n">
        <v>8589.8</v>
      </c>
      <c r="J247" s="3" t="n">
        <v>3569.6</v>
      </c>
      <c r="K247" s="3" t="n">
        <v>2705.2</v>
      </c>
      <c r="L247" s="4" t="n">
        <v>22.26263857</v>
      </c>
      <c r="M247" s="3" t="n">
        <v>9446.1</v>
      </c>
      <c r="N247" s="4" t="n">
        <v>77.73736143</v>
      </c>
    </row>
    <row r="248" customFormat="false" ht="15" hidden="false" customHeight="false" outlineLevel="0" collapsed="false">
      <c r="A248" s="2" t="s">
        <v>317</v>
      </c>
      <c r="B248" s="2" t="s">
        <v>15</v>
      </c>
      <c r="C248" s="2" t="s">
        <v>72</v>
      </c>
      <c r="D248" s="2" t="s">
        <v>73</v>
      </c>
      <c r="E248" s="2" t="s">
        <v>74</v>
      </c>
      <c r="F248" s="2" t="s">
        <v>19</v>
      </c>
      <c r="G248" s="2" t="n">
        <v>2008</v>
      </c>
      <c r="H248" s="3" t="n">
        <v>12136.7</v>
      </c>
      <c r="I248" s="3" t="n">
        <v>8.4</v>
      </c>
      <c r="J248" s="3" t="n">
        <v>12135.9</v>
      </c>
      <c r="K248" s="3" t="n">
        <v>0</v>
      </c>
      <c r="L248" s="4" t="n">
        <v>0</v>
      </c>
      <c r="M248" s="3" t="n">
        <v>12136.7</v>
      </c>
      <c r="N248" s="4" t="n">
        <v>100</v>
      </c>
    </row>
    <row r="249" customFormat="false" ht="15" hidden="false" customHeight="false" outlineLevel="0" collapsed="false">
      <c r="A249" s="2" t="s">
        <v>318</v>
      </c>
      <c r="B249" s="2" t="s">
        <v>21</v>
      </c>
      <c r="C249" s="2" t="s">
        <v>22</v>
      </c>
      <c r="D249" s="2" t="s">
        <v>17</v>
      </c>
      <c r="E249" s="2" t="s">
        <v>28</v>
      </c>
      <c r="F249" s="2" t="s">
        <v>19</v>
      </c>
      <c r="G249" s="2" t="n">
        <v>2001</v>
      </c>
      <c r="H249" s="3" t="n">
        <v>12099.6</v>
      </c>
      <c r="I249" s="3" t="n">
        <v>8350.5</v>
      </c>
      <c r="J249" s="3" t="n">
        <v>3754.7</v>
      </c>
      <c r="K249" s="3" t="n">
        <v>7341.3</v>
      </c>
      <c r="L249" s="4" t="n">
        <v>60.67390658</v>
      </c>
      <c r="M249" s="3" t="n">
        <v>4758.3</v>
      </c>
      <c r="N249" s="4" t="n">
        <v>39.32609342</v>
      </c>
    </row>
    <row r="250" customFormat="false" ht="15" hidden="false" customHeight="false" outlineLevel="0" collapsed="false">
      <c r="A250" s="2" t="s">
        <v>319</v>
      </c>
      <c r="B250" s="2" t="s">
        <v>21</v>
      </c>
      <c r="C250" s="2" t="s">
        <v>22</v>
      </c>
      <c r="D250" s="2" t="s">
        <v>17</v>
      </c>
      <c r="E250" s="2" t="s">
        <v>23</v>
      </c>
      <c r="F250" s="2" t="s">
        <v>19</v>
      </c>
      <c r="G250" s="2" t="n">
        <v>2009</v>
      </c>
      <c r="H250" s="3" t="n">
        <v>12094.7</v>
      </c>
      <c r="I250" s="3" t="n">
        <v>7821.4</v>
      </c>
      <c r="J250" s="3" t="n">
        <v>4279.1</v>
      </c>
      <c r="K250" s="3" t="n">
        <v>7189.4</v>
      </c>
      <c r="L250" s="4" t="n">
        <v>59.44256575</v>
      </c>
      <c r="M250" s="3" t="n">
        <v>4905.3</v>
      </c>
      <c r="N250" s="4" t="n">
        <v>40.55743425</v>
      </c>
    </row>
    <row r="251" customFormat="false" ht="15" hidden="false" customHeight="false" outlineLevel="0" collapsed="false">
      <c r="A251" s="2" t="s">
        <v>320</v>
      </c>
      <c r="B251" s="2" t="s">
        <v>15</v>
      </c>
      <c r="C251" s="2" t="s">
        <v>22</v>
      </c>
      <c r="D251" s="2" t="s">
        <v>17</v>
      </c>
      <c r="E251" s="2" t="s">
        <v>23</v>
      </c>
      <c r="F251" s="2" t="s">
        <v>19</v>
      </c>
      <c r="G251" s="2" t="n">
        <v>2015</v>
      </c>
      <c r="H251" s="3" t="n">
        <v>11966.9</v>
      </c>
      <c r="I251" s="3" t="n">
        <v>10802.2</v>
      </c>
      <c r="J251" s="3" t="n">
        <v>1167.1</v>
      </c>
      <c r="K251" s="3" t="n">
        <v>7423</v>
      </c>
      <c r="L251" s="4" t="n">
        <v>62.02943118</v>
      </c>
      <c r="M251" s="3" t="n">
        <v>4543.9</v>
      </c>
      <c r="N251" s="4" t="n">
        <v>37.97056882</v>
      </c>
    </row>
    <row r="252" customFormat="false" ht="15" hidden="false" customHeight="false" outlineLevel="0" collapsed="false">
      <c r="A252" s="2" t="s">
        <v>321</v>
      </c>
      <c r="B252" s="2" t="s">
        <v>21</v>
      </c>
      <c r="C252" s="2" t="s">
        <v>22</v>
      </c>
      <c r="D252" s="2" t="s">
        <v>17</v>
      </c>
      <c r="E252" s="2" t="s">
        <v>23</v>
      </c>
      <c r="F252" s="2" t="s">
        <v>19</v>
      </c>
      <c r="G252" s="2" t="n">
        <v>1982</v>
      </c>
      <c r="H252" s="3" t="n">
        <v>11879.6</v>
      </c>
      <c r="I252" s="3" t="n">
        <v>10122.7</v>
      </c>
      <c r="J252" s="3" t="n">
        <v>1768.2</v>
      </c>
      <c r="K252" s="3" t="n">
        <v>8527.5</v>
      </c>
      <c r="L252" s="4" t="n">
        <v>71.78271996</v>
      </c>
      <c r="M252" s="3" t="n">
        <v>3352.1</v>
      </c>
      <c r="N252" s="4" t="n">
        <v>28.21728004</v>
      </c>
    </row>
    <row r="253" customFormat="false" ht="15" hidden="false" customHeight="false" outlineLevel="0" collapsed="false">
      <c r="A253" s="2" t="s">
        <v>322</v>
      </c>
      <c r="B253" s="2" t="s">
        <v>15</v>
      </c>
      <c r="C253" s="2" t="s">
        <v>90</v>
      </c>
      <c r="D253" s="2" t="s">
        <v>25</v>
      </c>
      <c r="E253" s="2" t="s">
        <v>83</v>
      </c>
      <c r="F253" s="2" t="s">
        <v>49</v>
      </c>
      <c r="G253" s="2" t="n">
        <v>2005</v>
      </c>
      <c r="H253" s="3" t="n">
        <v>11853.7</v>
      </c>
      <c r="I253" s="3" t="n">
        <v>9900.6</v>
      </c>
      <c r="J253" s="3" t="n">
        <v>1953.1</v>
      </c>
      <c r="K253" s="3" t="n">
        <v>5248.7</v>
      </c>
      <c r="L253" s="4" t="n">
        <v>44.27900149</v>
      </c>
      <c r="M253" s="3" t="n">
        <v>6605</v>
      </c>
      <c r="N253" s="4" t="n">
        <v>55.72099851</v>
      </c>
    </row>
    <row r="254" customFormat="false" ht="15" hidden="false" customHeight="false" outlineLevel="0" collapsed="false">
      <c r="A254" s="2" t="s">
        <v>323</v>
      </c>
      <c r="B254" s="2" t="s">
        <v>15</v>
      </c>
      <c r="C254" s="2" t="s">
        <v>22</v>
      </c>
      <c r="D254" s="2" t="s">
        <v>17</v>
      </c>
      <c r="E254" s="2" t="s">
        <v>28</v>
      </c>
      <c r="F254" s="2" t="s">
        <v>19</v>
      </c>
      <c r="G254" s="2" t="n">
        <v>2004</v>
      </c>
      <c r="H254" s="3" t="n">
        <v>11821.6</v>
      </c>
      <c r="I254" s="3" t="n">
        <v>7454.6</v>
      </c>
      <c r="J254" s="3" t="n">
        <v>4369.1</v>
      </c>
      <c r="K254" s="3" t="n">
        <v>5783.2</v>
      </c>
      <c r="L254" s="4" t="n">
        <v>48.92061988</v>
      </c>
      <c r="M254" s="3" t="n">
        <v>6038.4</v>
      </c>
      <c r="N254" s="4" t="n">
        <v>51.07938012</v>
      </c>
    </row>
    <row r="255" customFormat="false" ht="15" hidden="false" customHeight="false" outlineLevel="0" collapsed="false">
      <c r="A255" s="2" t="s">
        <v>324</v>
      </c>
      <c r="B255" s="2" t="s">
        <v>21</v>
      </c>
      <c r="C255" s="2" t="s">
        <v>22</v>
      </c>
      <c r="D255" s="2" t="s">
        <v>17</v>
      </c>
      <c r="E255" s="2" t="s">
        <v>23</v>
      </c>
      <c r="F255" s="2" t="s">
        <v>19</v>
      </c>
      <c r="G255" s="2" t="n">
        <v>2009</v>
      </c>
      <c r="H255" s="3" t="n">
        <v>11817.1</v>
      </c>
      <c r="I255" s="3" t="n">
        <v>9731.6</v>
      </c>
      <c r="J255" s="3" t="n">
        <v>2088</v>
      </c>
      <c r="K255" s="3" t="n">
        <v>7684.3</v>
      </c>
      <c r="L255" s="4" t="n">
        <v>65.02695247</v>
      </c>
      <c r="M255" s="3" t="n">
        <v>4132.8</v>
      </c>
      <c r="N255" s="4" t="n">
        <v>34.97304753</v>
      </c>
    </row>
    <row r="256" customFormat="false" ht="15" hidden="false" customHeight="false" outlineLevel="0" collapsed="false">
      <c r="A256" s="2" t="s">
        <v>325</v>
      </c>
      <c r="B256" s="2" t="s">
        <v>15</v>
      </c>
      <c r="C256" s="2" t="s">
        <v>22</v>
      </c>
      <c r="D256" s="2" t="s">
        <v>17</v>
      </c>
      <c r="E256" s="2" t="s">
        <v>18</v>
      </c>
      <c r="F256" s="2" t="s">
        <v>19</v>
      </c>
      <c r="G256" s="2" t="n">
        <v>2017</v>
      </c>
      <c r="H256" s="3" t="n">
        <v>11783.3</v>
      </c>
      <c r="I256" s="3" t="n">
        <v>10687.5</v>
      </c>
      <c r="J256" s="3" t="n">
        <v>1099.4</v>
      </c>
      <c r="K256" s="3" t="n">
        <v>8809.8</v>
      </c>
      <c r="L256" s="4" t="n">
        <v>74.76513371</v>
      </c>
      <c r="M256" s="3" t="n">
        <v>2973.5</v>
      </c>
      <c r="N256" s="4" t="n">
        <v>25.23486629</v>
      </c>
    </row>
    <row r="257" customFormat="false" ht="15" hidden="false" customHeight="false" outlineLevel="0" collapsed="false">
      <c r="A257" s="2" t="s">
        <v>326</v>
      </c>
      <c r="B257" s="2" t="s">
        <v>21</v>
      </c>
      <c r="C257" s="2" t="s">
        <v>327</v>
      </c>
      <c r="D257" s="2" t="s">
        <v>17</v>
      </c>
      <c r="E257" s="2" t="s">
        <v>23</v>
      </c>
      <c r="F257" s="2" t="s">
        <v>19</v>
      </c>
      <c r="G257" s="2" t="n">
        <v>2012</v>
      </c>
      <c r="H257" s="3" t="n">
        <v>11721</v>
      </c>
      <c r="I257" s="3" t="n">
        <v>11036</v>
      </c>
      <c r="J257" s="3" t="n">
        <v>689</v>
      </c>
      <c r="K257" s="3" t="n">
        <v>10605.6</v>
      </c>
      <c r="L257" s="4" t="n">
        <v>90.48374712</v>
      </c>
      <c r="M257" s="3" t="n">
        <v>1115.4</v>
      </c>
      <c r="N257" s="4" t="n">
        <v>9.516252879</v>
      </c>
    </row>
    <row r="258" customFormat="false" ht="15" hidden="false" customHeight="false" outlineLevel="0" collapsed="false">
      <c r="A258" s="2" t="s">
        <v>328</v>
      </c>
      <c r="B258" s="2" t="s">
        <v>15</v>
      </c>
      <c r="C258" s="2" t="s">
        <v>167</v>
      </c>
      <c r="D258" s="2" t="s">
        <v>168</v>
      </c>
      <c r="E258" s="2" t="s">
        <v>18</v>
      </c>
      <c r="F258" s="2" t="s">
        <v>19</v>
      </c>
      <c r="G258" s="2" t="n">
        <v>2019</v>
      </c>
      <c r="H258" s="3" t="n">
        <v>11715.1</v>
      </c>
      <c r="I258" s="3" t="n">
        <v>1404.1</v>
      </c>
      <c r="J258" s="3" t="n">
        <v>10305.2</v>
      </c>
      <c r="K258" s="3" t="n">
        <v>7.7</v>
      </c>
      <c r="L258" s="4" t="n">
        <v>0.06572713848</v>
      </c>
      <c r="M258" s="3" t="n">
        <v>11707.4</v>
      </c>
      <c r="N258" s="4" t="n">
        <v>99.93427286</v>
      </c>
    </row>
    <row r="259" customFormat="false" ht="15" hidden="false" customHeight="false" outlineLevel="0" collapsed="false">
      <c r="A259" s="2" t="s">
        <v>329</v>
      </c>
      <c r="B259" s="2" t="s">
        <v>15</v>
      </c>
      <c r="C259" s="2" t="s">
        <v>22</v>
      </c>
      <c r="D259" s="2" t="s">
        <v>17</v>
      </c>
      <c r="E259" s="2" t="s">
        <v>99</v>
      </c>
      <c r="F259" s="2" t="s">
        <v>19</v>
      </c>
      <c r="G259" s="2" t="n">
        <v>2015</v>
      </c>
      <c r="H259" s="3" t="n">
        <v>11678.7</v>
      </c>
      <c r="I259" s="3" t="n">
        <v>9802.2</v>
      </c>
      <c r="J259" s="3" t="n">
        <v>1883.1</v>
      </c>
      <c r="K259" s="3" t="n">
        <v>9721.8</v>
      </c>
      <c r="L259" s="4" t="n">
        <v>83.2438542</v>
      </c>
      <c r="M259" s="3" t="n">
        <v>1956.9</v>
      </c>
      <c r="N259" s="4" t="n">
        <v>16.7561458</v>
      </c>
    </row>
    <row r="260" customFormat="false" ht="15" hidden="false" customHeight="false" outlineLevel="0" collapsed="false">
      <c r="A260" s="2" t="s">
        <v>330</v>
      </c>
      <c r="B260" s="2" t="s">
        <v>15</v>
      </c>
      <c r="C260" s="2" t="s">
        <v>331</v>
      </c>
      <c r="D260" s="2" t="s">
        <v>17</v>
      </c>
      <c r="E260" s="2" t="s">
        <v>18</v>
      </c>
      <c r="F260" s="2" t="s">
        <v>19</v>
      </c>
      <c r="G260" s="2" t="n">
        <v>2002</v>
      </c>
      <c r="H260" s="3" t="n">
        <v>11640.6</v>
      </c>
      <c r="I260" s="3" t="n">
        <v>6067.8</v>
      </c>
      <c r="J260" s="3" t="n">
        <v>5576.2</v>
      </c>
      <c r="K260" s="3" t="n">
        <v>325.2</v>
      </c>
      <c r="L260" s="4" t="n">
        <v>2.793670429</v>
      </c>
      <c r="M260" s="3" t="n">
        <v>11315.4</v>
      </c>
      <c r="N260" s="4" t="n">
        <v>97.20632957</v>
      </c>
    </row>
    <row r="261" customFormat="false" ht="15" hidden="false" customHeight="false" outlineLevel="0" collapsed="false">
      <c r="A261" s="2" t="s">
        <v>332</v>
      </c>
      <c r="B261" s="2" t="s">
        <v>21</v>
      </c>
      <c r="C261" s="2" t="s">
        <v>22</v>
      </c>
      <c r="D261" s="2" t="s">
        <v>17</v>
      </c>
      <c r="E261" s="2" t="s">
        <v>23</v>
      </c>
      <c r="F261" s="2" t="s">
        <v>19</v>
      </c>
      <c r="G261" s="2" t="n">
        <v>2014</v>
      </c>
      <c r="H261" s="3" t="n">
        <v>11632.9</v>
      </c>
      <c r="I261" s="3" t="n">
        <v>11637.4</v>
      </c>
      <c r="J261" s="3" t="n">
        <v>0</v>
      </c>
      <c r="K261" s="3" t="n">
        <v>11489.7</v>
      </c>
      <c r="L261" s="4" t="n">
        <v>98.76900859</v>
      </c>
      <c r="M261" s="3" t="n">
        <v>143.2</v>
      </c>
      <c r="N261" s="4" t="n">
        <v>1.230991412</v>
      </c>
    </row>
    <row r="262" customFormat="false" ht="15" hidden="false" customHeight="false" outlineLevel="0" collapsed="false">
      <c r="A262" s="2" t="s">
        <v>333</v>
      </c>
      <c r="B262" s="2" t="s">
        <v>15</v>
      </c>
      <c r="C262" s="2" t="s">
        <v>22</v>
      </c>
      <c r="D262" s="2" t="s">
        <v>17</v>
      </c>
      <c r="E262" s="2" t="s">
        <v>52</v>
      </c>
      <c r="F262" s="2" t="s">
        <v>19</v>
      </c>
      <c r="G262" s="2" t="n">
        <v>1954</v>
      </c>
      <c r="H262" s="3" t="n">
        <v>11588.8</v>
      </c>
      <c r="I262" s="3" t="n">
        <v>11545</v>
      </c>
      <c r="J262" s="3" t="n">
        <v>47.3</v>
      </c>
      <c r="K262" s="3" t="n">
        <v>10653.5</v>
      </c>
      <c r="L262" s="4" t="n">
        <v>91.92927654</v>
      </c>
      <c r="M262" s="3" t="n">
        <v>935.3</v>
      </c>
      <c r="N262" s="4" t="n">
        <v>8.070723457</v>
      </c>
    </row>
    <row r="263" customFormat="false" ht="15" hidden="false" customHeight="false" outlineLevel="0" collapsed="false">
      <c r="A263" s="2" t="s">
        <v>334</v>
      </c>
      <c r="B263" s="2" t="s">
        <v>15</v>
      </c>
      <c r="C263" s="2" t="s">
        <v>22</v>
      </c>
      <c r="D263" s="2" t="s">
        <v>17</v>
      </c>
      <c r="E263" s="2" t="s">
        <v>18</v>
      </c>
      <c r="F263" s="2" t="s">
        <v>19</v>
      </c>
      <c r="G263" s="2" t="n">
        <v>2006</v>
      </c>
      <c r="H263" s="3" t="n">
        <v>11575.2</v>
      </c>
      <c r="I263" s="3" t="n">
        <v>3209.4</v>
      </c>
      <c r="J263" s="3" t="n">
        <v>8365.8</v>
      </c>
      <c r="K263" s="3" t="n">
        <v>747.3</v>
      </c>
      <c r="L263" s="4" t="n">
        <v>6.456043956</v>
      </c>
      <c r="M263" s="3" t="n">
        <v>10827.9</v>
      </c>
      <c r="N263" s="4" t="n">
        <v>93.54395604</v>
      </c>
    </row>
    <row r="264" customFormat="false" ht="15" hidden="false" customHeight="false" outlineLevel="0" collapsed="false">
      <c r="A264" s="2" t="s">
        <v>335</v>
      </c>
      <c r="B264" s="2" t="s">
        <v>15</v>
      </c>
      <c r="C264" s="2" t="s">
        <v>336</v>
      </c>
      <c r="D264" s="2" t="s">
        <v>25</v>
      </c>
      <c r="E264" s="2" t="s">
        <v>26</v>
      </c>
      <c r="F264" s="2" t="s">
        <v>19</v>
      </c>
      <c r="G264" s="2" t="n">
        <v>2019</v>
      </c>
      <c r="H264" s="3" t="n">
        <v>11566.2</v>
      </c>
      <c r="I264" s="3" t="n">
        <v>7224.2</v>
      </c>
      <c r="J264" s="3" t="n">
        <v>4349.4</v>
      </c>
      <c r="K264" s="3" t="n">
        <v>4663</v>
      </c>
      <c r="L264" s="4" t="n">
        <v>40.31574761</v>
      </c>
      <c r="M264" s="3" t="n">
        <v>6903.2</v>
      </c>
      <c r="N264" s="4" t="n">
        <v>59.68425239</v>
      </c>
    </row>
    <row r="265" customFormat="false" ht="15" hidden="false" customHeight="false" outlineLevel="0" collapsed="false">
      <c r="A265" s="2" t="s">
        <v>337</v>
      </c>
      <c r="B265" s="2" t="s">
        <v>15</v>
      </c>
      <c r="C265" s="2" t="s">
        <v>338</v>
      </c>
      <c r="D265" s="2" t="s">
        <v>17</v>
      </c>
      <c r="E265" s="2" t="s">
        <v>61</v>
      </c>
      <c r="F265" s="2" t="s">
        <v>19</v>
      </c>
      <c r="G265" s="2" t="n">
        <v>2010</v>
      </c>
      <c r="H265" s="3" t="n">
        <v>11481.4</v>
      </c>
      <c r="I265" s="3" t="n">
        <v>11486.5</v>
      </c>
      <c r="J265" s="3" t="n">
        <v>0</v>
      </c>
      <c r="K265" s="3" t="n">
        <v>235.7</v>
      </c>
      <c r="L265" s="4" t="n">
        <v>2.052885537</v>
      </c>
      <c r="M265" s="3" t="n">
        <v>11245.7</v>
      </c>
      <c r="N265" s="4" t="n">
        <v>97.94711446</v>
      </c>
    </row>
    <row r="266" customFormat="false" ht="15" hidden="false" customHeight="false" outlineLevel="0" collapsed="false">
      <c r="A266" s="2" t="s">
        <v>339</v>
      </c>
      <c r="B266" s="2" t="s">
        <v>79</v>
      </c>
      <c r="C266" s="2" t="s">
        <v>22</v>
      </c>
      <c r="D266" s="2" t="s">
        <v>17</v>
      </c>
      <c r="E266" s="2" t="s">
        <v>52</v>
      </c>
      <c r="F266" s="2" t="s">
        <v>49</v>
      </c>
      <c r="G266" s="2" t="n">
        <v>2005</v>
      </c>
      <c r="H266" s="3" t="n">
        <v>11480.4</v>
      </c>
      <c r="I266" s="3" t="n">
        <v>8241.1</v>
      </c>
      <c r="J266" s="3" t="n">
        <v>3243.6</v>
      </c>
      <c r="K266" s="3" t="n">
        <v>11420.3</v>
      </c>
      <c r="L266" s="4" t="n">
        <v>99.47649908</v>
      </c>
      <c r="M266" s="3" t="n">
        <v>60.1</v>
      </c>
      <c r="N266" s="4" t="n">
        <v>0.5235009233</v>
      </c>
    </row>
    <row r="267" customFormat="false" ht="15" hidden="false" customHeight="false" outlineLevel="0" collapsed="false">
      <c r="A267" s="2" t="s">
        <v>340</v>
      </c>
      <c r="B267" s="2" t="s">
        <v>15</v>
      </c>
      <c r="C267" s="2" t="s">
        <v>22</v>
      </c>
      <c r="D267" s="2" t="s">
        <v>17</v>
      </c>
      <c r="E267" s="2" t="s">
        <v>18</v>
      </c>
      <c r="F267" s="2" t="s">
        <v>19</v>
      </c>
      <c r="G267" s="2" t="n">
        <v>2012</v>
      </c>
      <c r="H267" s="3" t="n">
        <v>11475.1</v>
      </c>
      <c r="I267" s="3" t="n">
        <v>3956.3</v>
      </c>
      <c r="J267" s="3" t="n">
        <v>7518.7</v>
      </c>
      <c r="K267" s="3" t="n">
        <v>545.7</v>
      </c>
      <c r="L267" s="4" t="n">
        <v>4.755514113</v>
      </c>
      <c r="M267" s="3" t="n">
        <v>10929.4</v>
      </c>
      <c r="N267" s="4" t="n">
        <v>95.24448589</v>
      </c>
    </row>
    <row r="268" customFormat="false" ht="15" hidden="false" customHeight="false" outlineLevel="0" collapsed="false">
      <c r="A268" s="2" t="s">
        <v>341</v>
      </c>
      <c r="B268" s="2" t="s">
        <v>15</v>
      </c>
      <c r="C268" s="2" t="s">
        <v>60</v>
      </c>
      <c r="D268" s="2" t="s">
        <v>258</v>
      </c>
      <c r="E268" s="2" t="s">
        <v>18</v>
      </c>
      <c r="F268" s="2" t="s">
        <v>19</v>
      </c>
      <c r="G268" s="2" t="n">
        <v>2017</v>
      </c>
      <c r="H268" s="3" t="n">
        <v>11459.5</v>
      </c>
      <c r="I268" s="3" t="n">
        <v>7069.7</v>
      </c>
      <c r="J268" s="3" t="n">
        <v>4399.6</v>
      </c>
      <c r="K268" s="3" t="n">
        <v>5201.4</v>
      </c>
      <c r="L268" s="4" t="n">
        <v>45.3894149</v>
      </c>
      <c r="M268" s="3" t="n">
        <v>6258.1</v>
      </c>
      <c r="N268" s="4" t="n">
        <v>54.6105851</v>
      </c>
    </row>
    <row r="269" customFormat="false" ht="15" hidden="false" customHeight="false" outlineLevel="0" collapsed="false">
      <c r="A269" s="2" t="s">
        <v>342</v>
      </c>
      <c r="B269" s="2" t="s">
        <v>15</v>
      </c>
      <c r="C269" s="2" t="s">
        <v>22</v>
      </c>
      <c r="D269" s="2" t="s">
        <v>17</v>
      </c>
      <c r="E269" s="2" t="s">
        <v>28</v>
      </c>
      <c r="F269" s="2" t="s">
        <v>19</v>
      </c>
      <c r="G269" s="2" t="n">
        <v>2006</v>
      </c>
      <c r="H269" s="3" t="n">
        <v>11428.5</v>
      </c>
      <c r="I269" s="3" t="n">
        <v>7562.2</v>
      </c>
      <c r="J269" s="3" t="n">
        <v>3868</v>
      </c>
      <c r="K269" s="3" t="n">
        <v>6108.9</v>
      </c>
      <c r="L269" s="4" t="n">
        <v>53.45320908</v>
      </c>
      <c r="M269" s="3" t="n">
        <v>5319.6</v>
      </c>
      <c r="N269" s="4" t="n">
        <v>46.54679092</v>
      </c>
    </row>
    <row r="270" customFormat="false" ht="15" hidden="false" customHeight="false" outlineLevel="0" collapsed="false">
      <c r="A270" s="2" t="s">
        <v>343</v>
      </c>
      <c r="B270" s="2" t="s">
        <v>15</v>
      </c>
      <c r="C270" s="2" t="s">
        <v>22</v>
      </c>
      <c r="D270" s="2" t="s">
        <v>17</v>
      </c>
      <c r="E270" s="2" t="s">
        <v>52</v>
      </c>
      <c r="F270" s="2" t="s">
        <v>49</v>
      </c>
      <c r="G270" s="2" t="n">
        <v>1968</v>
      </c>
      <c r="H270" s="3" t="n">
        <v>11314.2</v>
      </c>
      <c r="I270" s="3" t="n">
        <v>11274.4</v>
      </c>
      <c r="J270" s="3" t="n">
        <v>44.7</v>
      </c>
      <c r="K270" s="3" t="n">
        <v>11264.9</v>
      </c>
      <c r="L270" s="4" t="n">
        <v>99.56426438</v>
      </c>
      <c r="M270" s="3" t="n">
        <v>49.3</v>
      </c>
      <c r="N270" s="4" t="n">
        <v>0.4357356243</v>
      </c>
    </row>
    <row r="271" customFormat="false" ht="15" hidden="false" customHeight="false" outlineLevel="0" collapsed="false">
      <c r="A271" s="2" t="s">
        <v>344</v>
      </c>
      <c r="B271" s="2" t="s">
        <v>15</v>
      </c>
      <c r="C271" s="2" t="s">
        <v>22</v>
      </c>
      <c r="D271" s="2" t="s">
        <v>17</v>
      </c>
      <c r="E271" s="2" t="s">
        <v>28</v>
      </c>
      <c r="F271" s="2" t="s">
        <v>19</v>
      </c>
      <c r="G271" s="2" t="n">
        <v>2005</v>
      </c>
      <c r="H271" s="3" t="n">
        <v>11238.2</v>
      </c>
      <c r="I271" s="3" t="n">
        <v>4609.5</v>
      </c>
      <c r="J271" s="3" t="n">
        <v>6628.7</v>
      </c>
      <c r="K271" s="3" t="n">
        <v>839.9</v>
      </c>
      <c r="L271" s="4" t="n">
        <v>7.473616771</v>
      </c>
      <c r="M271" s="3" t="n">
        <v>10398.3</v>
      </c>
      <c r="N271" s="4" t="n">
        <v>92.52638323</v>
      </c>
    </row>
    <row r="272" customFormat="false" ht="15" hidden="false" customHeight="false" outlineLevel="0" collapsed="false">
      <c r="A272" s="2" t="s">
        <v>345</v>
      </c>
      <c r="B272" s="2" t="s">
        <v>15</v>
      </c>
      <c r="C272" s="2" t="s">
        <v>46</v>
      </c>
      <c r="D272" s="2" t="s">
        <v>47</v>
      </c>
      <c r="E272" s="2" t="s">
        <v>48</v>
      </c>
      <c r="F272" s="2" t="s">
        <v>19</v>
      </c>
      <c r="G272" s="2" t="n">
        <v>2013</v>
      </c>
      <c r="H272" s="3" t="n">
        <v>11232.6</v>
      </c>
      <c r="I272" s="3" t="n">
        <v>9653.8</v>
      </c>
      <c r="J272" s="3" t="n">
        <v>1583.7</v>
      </c>
      <c r="K272" s="3" t="n">
        <v>4076.4</v>
      </c>
      <c r="L272" s="4" t="n">
        <v>36.29079643</v>
      </c>
      <c r="M272" s="3" t="n">
        <v>7156.2</v>
      </c>
      <c r="N272" s="4" t="n">
        <v>63.70920357</v>
      </c>
    </row>
    <row r="273" customFormat="false" ht="15" hidden="false" customHeight="false" outlineLevel="0" collapsed="false">
      <c r="A273" s="2" t="s">
        <v>346</v>
      </c>
      <c r="B273" s="2" t="s">
        <v>15</v>
      </c>
      <c r="C273" s="2" t="s">
        <v>22</v>
      </c>
      <c r="D273" s="2" t="s">
        <v>17</v>
      </c>
      <c r="E273" s="2" t="s">
        <v>61</v>
      </c>
      <c r="F273" s="2" t="s">
        <v>19</v>
      </c>
      <c r="G273" s="2" t="n">
        <v>2010</v>
      </c>
      <c r="H273" s="3" t="n">
        <v>11198.8</v>
      </c>
      <c r="I273" s="3" t="n">
        <v>5328.3</v>
      </c>
      <c r="J273" s="3" t="n">
        <v>5873.2</v>
      </c>
      <c r="K273" s="3" t="n">
        <v>961.9</v>
      </c>
      <c r="L273" s="4" t="n">
        <v>8.589313141</v>
      </c>
      <c r="M273" s="3" t="n">
        <v>10236.9</v>
      </c>
      <c r="N273" s="4" t="n">
        <v>91.41068686</v>
      </c>
    </row>
    <row r="274" customFormat="false" ht="15" hidden="false" customHeight="false" outlineLevel="0" collapsed="false">
      <c r="A274" s="2" t="s">
        <v>347</v>
      </c>
      <c r="B274" s="2" t="s">
        <v>15</v>
      </c>
      <c r="C274" s="2" t="s">
        <v>22</v>
      </c>
      <c r="D274" s="2" t="s">
        <v>17</v>
      </c>
      <c r="E274" s="2" t="s">
        <v>18</v>
      </c>
      <c r="F274" s="2" t="s">
        <v>19</v>
      </c>
      <c r="G274" s="2" t="n">
        <v>2006</v>
      </c>
      <c r="H274" s="3" t="n">
        <v>11196</v>
      </c>
      <c r="I274" s="3" t="n">
        <v>10287.7</v>
      </c>
      <c r="J274" s="3" t="n">
        <v>910.9</v>
      </c>
      <c r="K274" s="3" t="n">
        <v>656.6</v>
      </c>
      <c r="L274" s="4" t="n">
        <v>5.864594498</v>
      </c>
      <c r="M274" s="3" t="n">
        <v>10539.4</v>
      </c>
      <c r="N274" s="4" t="n">
        <v>94.1354055</v>
      </c>
    </row>
    <row r="275" customFormat="false" ht="15" hidden="false" customHeight="false" outlineLevel="0" collapsed="false">
      <c r="A275" s="2" t="s">
        <v>348</v>
      </c>
      <c r="B275" s="2" t="s">
        <v>15</v>
      </c>
      <c r="C275" s="2" t="s">
        <v>349</v>
      </c>
      <c r="D275" s="2" t="s">
        <v>17</v>
      </c>
      <c r="E275" s="2" t="s">
        <v>350</v>
      </c>
      <c r="F275" s="2" t="s">
        <v>19</v>
      </c>
      <c r="G275" s="2" t="n">
        <v>2011</v>
      </c>
      <c r="H275" s="3" t="n">
        <v>11149</v>
      </c>
      <c r="I275" s="3" t="n">
        <v>3260</v>
      </c>
      <c r="J275" s="3" t="n">
        <v>7882.2</v>
      </c>
      <c r="K275" s="3" t="n">
        <v>1292</v>
      </c>
      <c r="L275" s="4" t="n">
        <v>11.58848327</v>
      </c>
      <c r="M275" s="3" t="n">
        <v>9857</v>
      </c>
      <c r="N275" s="4" t="n">
        <v>88.41151673</v>
      </c>
    </row>
    <row r="276" customFormat="false" ht="15" hidden="false" customHeight="false" outlineLevel="0" collapsed="false">
      <c r="A276" s="2" t="s">
        <v>351</v>
      </c>
      <c r="B276" s="2" t="s">
        <v>15</v>
      </c>
      <c r="C276" s="2" t="s">
        <v>34</v>
      </c>
      <c r="D276" s="2" t="s">
        <v>17</v>
      </c>
      <c r="E276" s="2" t="s">
        <v>52</v>
      </c>
      <c r="F276" s="2" t="s">
        <v>49</v>
      </c>
      <c r="G276" s="2" t="n">
        <v>1994</v>
      </c>
      <c r="H276" s="3" t="n">
        <v>11063.6</v>
      </c>
      <c r="I276" s="3" t="n">
        <v>11073.6</v>
      </c>
      <c r="J276" s="3" t="n">
        <v>0</v>
      </c>
      <c r="K276" s="3" t="n">
        <v>11061.4</v>
      </c>
      <c r="L276" s="4" t="n">
        <v>99.98011497</v>
      </c>
      <c r="M276" s="3" t="n">
        <v>2.2</v>
      </c>
      <c r="N276" s="4" t="n">
        <v>0.01988502838</v>
      </c>
    </row>
    <row r="277" customFormat="false" ht="15" hidden="false" customHeight="false" outlineLevel="0" collapsed="false">
      <c r="A277" s="2" t="s">
        <v>352</v>
      </c>
      <c r="B277" s="2" t="s">
        <v>21</v>
      </c>
      <c r="C277" s="2" t="s">
        <v>22</v>
      </c>
      <c r="D277" s="2" t="s">
        <v>17</v>
      </c>
      <c r="E277" s="2" t="s">
        <v>23</v>
      </c>
      <c r="F277" s="2" t="s">
        <v>19</v>
      </c>
      <c r="G277" s="2" t="n">
        <v>1999</v>
      </c>
      <c r="H277" s="3" t="n">
        <v>11060.5</v>
      </c>
      <c r="I277" s="3" t="n">
        <v>6055.9</v>
      </c>
      <c r="J277" s="3" t="n">
        <v>5004.6</v>
      </c>
      <c r="K277" s="3" t="n">
        <v>4661.1</v>
      </c>
      <c r="L277" s="4" t="n">
        <v>42.14185615</v>
      </c>
      <c r="M277" s="3" t="n">
        <v>6399.4</v>
      </c>
      <c r="N277" s="4" t="n">
        <v>57.85814385</v>
      </c>
    </row>
    <row r="278" customFormat="false" ht="15" hidden="false" customHeight="false" outlineLevel="0" collapsed="false">
      <c r="A278" s="2" t="s">
        <v>353</v>
      </c>
      <c r="B278" s="2" t="s">
        <v>15</v>
      </c>
      <c r="C278" s="2" t="s">
        <v>22</v>
      </c>
      <c r="D278" s="2" t="s">
        <v>17</v>
      </c>
      <c r="E278" s="2" t="s">
        <v>292</v>
      </c>
      <c r="F278" s="2" t="s">
        <v>49</v>
      </c>
      <c r="G278" s="2" t="n">
        <v>1999</v>
      </c>
      <c r="H278" s="3" t="n">
        <v>11051.4</v>
      </c>
      <c r="I278" s="3" t="n">
        <v>11056.2</v>
      </c>
      <c r="J278" s="3" t="n">
        <v>0</v>
      </c>
      <c r="K278" s="3" t="n">
        <v>11051.4</v>
      </c>
      <c r="L278" s="4" t="n">
        <v>100</v>
      </c>
      <c r="M278" s="3" t="n">
        <v>0</v>
      </c>
      <c r="N278" s="4" t="n">
        <v>0</v>
      </c>
    </row>
    <row r="279" customFormat="false" ht="15" hidden="false" customHeight="false" outlineLevel="0" collapsed="false">
      <c r="A279" s="2" t="s">
        <v>354</v>
      </c>
      <c r="B279" s="2" t="s">
        <v>15</v>
      </c>
      <c r="C279" s="2" t="s">
        <v>72</v>
      </c>
      <c r="D279" s="2" t="s">
        <v>73</v>
      </c>
      <c r="E279" s="2" t="s">
        <v>74</v>
      </c>
      <c r="F279" s="2" t="s">
        <v>19</v>
      </c>
      <c r="G279" s="2" t="n">
        <v>2004</v>
      </c>
      <c r="H279" s="3" t="n">
        <v>11014.9</v>
      </c>
      <c r="I279" s="3" t="n">
        <v>5793.9</v>
      </c>
      <c r="J279" s="3" t="n">
        <v>5236.3</v>
      </c>
      <c r="K279" s="3" t="n">
        <v>0</v>
      </c>
      <c r="L279" s="4" t="n">
        <v>0</v>
      </c>
      <c r="M279" s="3" t="n">
        <v>11014.9</v>
      </c>
      <c r="N279" s="4" t="n">
        <v>100</v>
      </c>
    </row>
    <row r="280" customFormat="false" ht="15" hidden="false" customHeight="false" outlineLevel="0" collapsed="false">
      <c r="A280" s="2" t="s">
        <v>355</v>
      </c>
      <c r="B280" s="2" t="s">
        <v>21</v>
      </c>
      <c r="C280" s="2" t="s">
        <v>34</v>
      </c>
      <c r="D280" s="2" t="s">
        <v>17</v>
      </c>
      <c r="E280" s="2" t="s">
        <v>23</v>
      </c>
      <c r="F280" s="2" t="s">
        <v>49</v>
      </c>
      <c r="G280" s="2" t="n">
        <v>2011</v>
      </c>
      <c r="H280" s="3" t="n">
        <v>10985.7</v>
      </c>
      <c r="I280" s="3" t="n">
        <v>0</v>
      </c>
      <c r="J280" s="3" t="n">
        <v>11024.9</v>
      </c>
      <c r="K280" s="3" t="n">
        <v>6916.9</v>
      </c>
      <c r="L280" s="4" t="n">
        <v>62.96276068</v>
      </c>
      <c r="M280" s="3" t="n">
        <v>4068.8</v>
      </c>
      <c r="N280" s="4" t="n">
        <v>37.03723932</v>
      </c>
    </row>
    <row r="281" customFormat="false" ht="15" hidden="false" customHeight="false" outlineLevel="0" collapsed="false">
      <c r="A281" s="2" t="s">
        <v>356</v>
      </c>
      <c r="B281" s="2" t="s">
        <v>15</v>
      </c>
      <c r="C281" s="2" t="s">
        <v>43</v>
      </c>
      <c r="D281" s="2" t="s">
        <v>25</v>
      </c>
      <c r="E281" s="2" t="s">
        <v>26</v>
      </c>
      <c r="F281" s="2" t="s">
        <v>19</v>
      </c>
      <c r="G281" s="2" t="n">
        <v>2019</v>
      </c>
      <c r="H281" s="3" t="n">
        <v>10974</v>
      </c>
      <c r="I281" s="3" t="n">
        <v>9511.5</v>
      </c>
      <c r="J281" s="3" t="n">
        <v>1474.2</v>
      </c>
      <c r="K281" s="3" t="n">
        <v>3645.8</v>
      </c>
      <c r="L281" s="4" t="n">
        <v>33.22216147</v>
      </c>
      <c r="M281" s="3" t="n">
        <v>7328.2</v>
      </c>
      <c r="N281" s="4" t="n">
        <v>66.77783853</v>
      </c>
    </row>
    <row r="282" customFormat="false" ht="15" hidden="false" customHeight="false" outlineLevel="0" collapsed="false">
      <c r="A282" s="2" t="s">
        <v>357</v>
      </c>
      <c r="B282" s="2" t="s">
        <v>15</v>
      </c>
      <c r="C282" s="2" t="s">
        <v>22</v>
      </c>
      <c r="D282" s="2" t="s">
        <v>17</v>
      </c>
      <c r="E282" s="2" t="s">
        <v>18</v>
      </c>
      <c r="F282" s="2" t="s">
        <v>19</v>
      </c>
      <c r="G282" s="2" t="n">
        <v>1993</v>
      </c>
      <c r="H282" s="3" t="n">
        <v>10968.8</v>
      </c>
      <c r="I282" s="3" t="n">
        <v>5006.4</v>
      </c>
      <c r="J282" s="3" t="n">
        <v>5977.1</v>
      </c>
      <c r="K282" s="3" t="n">
        <v>7034.7</v>
      </c>
      <c r="L282" s="4" t="n">
        <v>64.13372475</v>
      </c>
      <c r="M282" s="3" t="n">
        <v>3934.1</v>
      </c>
      <c r="N282" s="4" t="n">
        <v>35.86627525</v>
      </c>
    </row>
    <row r="283" customFormat="false" ht="15" hidden="false" customHeight="false" outlineLevel="0" collapsed="false">
      <c r="A283" s="2" t="s">
        <v>358</v>
      </c>
      <c r="B283" s="2" t="s">
        <v>21</v>
      </c>
      <c r="C283" s="2" t="s">
        <v>246</v>
      </c>
      <c r="D283" s="2" t="s">
        <v>17</v>
      </c>
      <c r="E283" s="2" t="s">
        <v>58</v>
      </c>
      <c r="F283" s="2" t="s">
        <v>19</v>
      </c>
      <c r="G283" s="2" t="n">
        <v>2012</v>
      </c>
      <c r="H283" s="3" t="n">
        <v>10939.4</v>
      </c>
      <c r="I283" s="3" t="n">
        <v>9358.8</v>
      </c>
      <c r="J283" s="3" t="n">
        <v>1614.9</v>
      </c>
      <c r="K283" s="3" t="n">
        <v>10795.1</v>
      </c>
      <c r="L283" s="4" t="n">
        <v>98.68091486</v>
      </c>
      <c r="M283" s="3" t="n">
        <v>144.3</v>
      </c>
      <c r="N283" s="4" t="n">
        <v>1.319085142</v>
      </c>
    </row>
    <row r="284" customFormat="false" ht="15" hidden="false" customHeight="false" outlineLevel="0" collapsed="false">
      <c r="A284" s="2" t="s">
        <v>359</v>
      </c>
      <c r="B284" s="2" t="s">
        <v>15</v>
      </c>
      <c r="C284" s="2" t="s">
        <v>22</v>
      </c>
      <c r="D284" s="2" t="s">
        <v>25</v>
      </c>
      <c r="E284" s="2" t="s">
        <v>26</v>
      </c>
      <c r="F284" s="2" t="s">
        <v>19</v>
      </c>
      <c r="G284" s="2" t="n">
        <v>2006</v>
      </c>
      <c r="H284" s="3" t="n">
        <v>10933.4</v>
      </c>
      <c r="I284" s="3" t="n">
        <v>10905.7</v>
      </c>
      <c r="J284" s="3" t="n">
        <v>38</v>
      </c>
      <c r="K284" s="3" t="n">
        <v>8.1</v>
      </c>
      <c r="L284" s="4" t="n">
        <v>0.07408491412</v>
      </c>
      <c r="M284" s="3" t="n">
        <v>10925.3</v>
      </c>
      <c r="N284" s="4" t="n">
        <v>99.92591509</v>
      </c>
    </row>
    <row r="285" customFormat="false" ht="15" hidden="false" customHeight="false" outlineLevel="0" collapsed="false">
      <c r="A285" s="2" t="s">
        <v>360</v>
      </c>
      <c r="B285" s="2" t="s">
        <v>15</v>
      </c>
      <c r="C285" s="2" t="s">
        <v>167</v>
      </c>
      <c r="D285" s="2" t="s">
        <v>168</v>
      </c>
      <c r="E285" s="2" t="s">
        <v>169</v>
      </c>
      <c r="F285" s="2" t="s">
        <v>49</v>
      </c>
      <c r="G285" s="2" t="n">
        <v>2011</v>
      </c>
      <c r="H285" s="3" t="n">
        <v>10914.2</v>
      </c>
      <c r="I285" s="3" t="n">
        <v>9203.4</v>
      </c>
      <c r="J285" s="3" t="n">
        <v>1721.9</v>
      </c>
      <c r="K285" s="3" t="n">
        <v>8573.2</v>
      </c>
      <c r="L285" s="4" t="n">
        <v>78.55087867</v>
      </c>
      <c r="M285" s="3" t="n">
        <v>2341</v>
      </c>
      <c r="N285" s="4" t="n">
        <v>21.44912133</v>
      </c>
    </row>
    <row r="286" customFormat="false" ht="15" hidden="false" customHeight="false" outlineLevel="0" collapsed="false">
      <c r="A286" s="2" t="s">
        <v>361</v>
      </c>
      <c r="B286" s="2" t="s">
        <v>15</v>
      </c>
      <c r="C286" s="2" t="s">
        <v>129</v>
      </c>
      <c r="D286" s="2" t="s">
        <v>130</v>
      </c>
      <c r="E286" s="2" t="s">
        <v>292</v>
      </c>
      <c r="F286" s="2" t="s">
        <v>49</v>
      </c>
      <c r="G286" s="2" t="n">
        <v>1995</v>
      </c>
      <c r="H286" s="3" t="n">
        <v>10902.6</v>
      </c>
      <c r="I286" s="3" t="n">
        <v>10910.3</v>
      </c>
      <c r="J286" s="3" t="n">
        <v>0</v>
      </c>
      <c r="K286" s="3" t="n">
        <v>10773.4</v>
      </c>
      <c r="L286" s="4" t="n">
        <v>98.81496157</v>
      </c>
      <c r="M286" s="3" t="n">
        <v>129.2</v>
      </c>
      <c r="N286" s="4" t="n">
        <v>1.185038431</v>
      </c>
    </row>
    <row r="287" customFormat="false" ht="15" hidden="false" customHeight="false" outlineLevel="0" collapsed="false">
      <c r="A287" s="2" t="s">
        <v>362</v>
      </c>
      <c r="B287" s="2" t="s">
        <v>15</v>
      </c>
      <c r="C287" s="2" t="s">
        <v>34</v>
      </c>
      <c r="D287" s="2" t="s">
        <v>17</v>
      </c>
      <c r="E287" s="2" t="s">
        <v>23</v>
      </c>
      <c r="F287" s="2" t="s">
        <v>19</v>
      </c>
      <c r="G287" s="2" t="n">
        <v>2010</v>
      </c>
      <c r="H287" s="3" t="n">
        <v>10783.2</v>
      </c>
      <c r="I287" s="3" t="n">
        <v>7412.3</v>
      </c>
      <c r="J287" s="3" t="n">
        <v>3373.2</v>
      </c>
      <c r="K287" s="3" t="n">
        <v>5819.8</v>
      </c>
      <c r="L287" s="4" t="n">
        <v>53.97099191</v>
      </c>
      <c r="M287" s="3" t="n">
        <v>4963.4</v>
      </c>
      <c r="N287" s="4" t="n">
        <v>46.02900809</v>
      </c>
    </row>
    <row r="288" customFormat="false" ht="15" hidden="false" customHeight="false" outlineLevel="0" collapsed="false">
      <c r="A288" s="2" t="s">
        <v>363</v>
      </c>
      <c r="B288" s="2" t="s">
        <v>15</v>
      </c>
      <c r="C288" s="2" t="s">
        <v>22</v>
      </c>
      <c r="D288" s="2" t="s">
        <v>25</v>
      </c>
      <c r="E288" s="2" t="s">
        <v>26</v>
      </c>
      <c r="F288" s="2" t="s">
        <v>19</v>
      </c>
      <c r="G288" s="2" t="n">
        <v>1999</v>
      </c>
      <c r="H288" s="3" t="n">
        <v>10776.2</v>
      </c>
      <c r="I288" s="3" t="n">
        <v>10712.5</v>
      </c>
      <c r="J288" s="3" t="n">
        <v>63.9</v>
      </c>
      <c r="K288" s="3" t="n">
        <v>291.9</v>
      </c>
      <c r="L288" s="4" t="n">
        <v>2.708747054</v>
      </c>
      <c r="M288" s="3" t="n">
        <v>10484.3</v>
      </c>
      <c r="N288" s="4" t="n">
        <v>97.29125295</v>
      </c>
    </row>
    <row r="289" customFormat="false" ht="15" hidden="false" customHeight="false" outlineLevel="0" collapsed="false">
      <c r="A289" s="2" t="s">
        <v>364</v>
      </c>
      <c r="B289" s="2" t="s">
        <v>15</v>
      </c>
      <c r="C289" s="2" t="s">
        <v>22</v>
      </c>
      <c r="D289" s="2" t="s">
        <v>25</v>
      </c>
      <c r="E289" s="2" t="s">
        <v>26</v>
      </c>
      <c r="F289" s="2" t="s">
        <v>19</v>
      </c>
      <c r="G289" s="2" t="n">
        <v>2010</v>
      </c>
      <c r="H289" s="3" t="n">
        <v>10772</v>
      </c>
      <c r="I289" s="3" t="n">
        <v>595.6</v>
      </c>
      <c r="J289" s="3" t="n">
        <v>10180.6</v>
      </c>
      <c r="K289" s="3" t="n">
        <v>689.2</v>
      </c>
      <c r="L289" s="4" t="n">
        <v>6.398069068</v>
      </c>
      <c r="M289" s="3" t="n">
        <v>10082.8</v>
      </c>
      <c r="N289" s="4" t="n">
        <v>93.60193093</v>
      </c>
    </row>
    <row r="290" customFormat="false" ht="15" hidden="false" customHeight="false" outlineLevel="0" collapsed="false">
      <c r="A290" s="2" t="s">
        <v>365</v>
      </c>
      <c r="B290" s="2" t="s">
        <v>15</v>
      </c>
      <c r="C290" s="2" t="s">
        <v>22</v>
      </c>
      <c r="D290" s="2" t="s">
        <v>17</v>
      </c>
      <c r="E290" s="2" t="s">
        <v>52</v>
      </c>
      <c r="F290" s="2" t="s">
        <v>49</v>
      </c>
      <c r="G290" s="2" t="n">
        <v>1984</v>
      </c>
      <c r="H290" s="3" t="n">
        <v>10771.3</v>
      </c>
      <c r="I290" s="3" t="n">
        <v>10772.2</v>
      </c>
      <c r="J290" s="3" t="n">
        <v>0.6</v>
      </c>
      <c r="K290" s="3" t="n">
        <v>10575.9</v>
      </c>
      <c r="L290" s="4" t="n">
        <v>98.18591999</v>
      </c>
      <c r="M290" s="3" t="n">
        <v>195.4</v>
      </c>
      <c r="N290" s="4" t="n">
        <v>1.814080009</v>
      </c>
    </row>
    <row r="291" customFormat="false" ht="15" hidden="false" customHeight="false" outlineLevel="0" collapsed="false">
      <c r="A291" s="2" t="s">
        <v>366</v>
      </c>
      <c r="B291" s="2" t="s">
        <v>15</v>
      </c>
      <c r="C291" s="2" t="s">
        <v>22</v>
      </c>
      <c r="D291" s="2" t="s">
        <v>17</v>
      </c>
      <c r="E291" s="2" t="s">
        <v>52</v>
      </c>
      <c r="F291" s="2" t="s">
        <v>49</v>
      </c>
      <c r="G291" s="2" t="n">
        <v>2004</v>
      </c>
      <c r="H291" s="3" t="n">
        <v>10767.6</v>
      </c>
      <c r="I291" s="3" t="n">
        <v>1893.8</v>
      </c>
      <c r="J291" s="3" t="n">
        <v>8878.2</v>
      </c>
      <c r="K291" s="3" t="n">
        <v>10569.4</v>
      </c>
      <c r="L291" s="4" t="n">
        <v>98.15929269</v>
      </c>
      <c r="M291" s="3" t="n">
        <v>198.2</v>
      </c>
      <c r="N291" s="4" t="n">
        <v>1.840707307</v>
      </c>
    </row>
    <row r="292" customFormat="false" ht="15" hidden="false" customHeight="false" outlineLevel="0" collapsed="false">
      <c r="A292" s="2" t="s">
        <v>367</v>
      </c>
      <c r="B292" s="2" t="s">
        <v>15</v>
      </c>
      <c r="C292" s="2" t="s">
        <v>22</v>
      </c>
      <c r="D292" s="2" t="s">
        <v>17</v>
      </c>
      <c r="E292" s="2" t="s">
        <v>52</v>
      </c>
      <c r="F292" s="2" t="s">
        <v>49</v>
      </c>
      <c r="G292" s="2" t="n">
        <v>1995</v>
      </c>
      <c r="H292" s="3" t="n">
        <v>10760.4</v>
      </c>
      <c r="I292" s="3" t="n">
        <v>10630.4</v>
      </c>
      <c r="J292" s="3" t="n">
        <v>133.8</v>
      </c>
      <c r="K292" s="3" t="n">
        <v>10584.7</v>
      </c>
      <c r="L292" s="4" t="n">
        <v>98.36716107</v>
      </c>
      <c r="M292" s="3" t="n">
        <v>175.7</v>
      </c>
      <c r="N292" s="4" t="n">
        <v>1.632838928</v>
      </c>
    </row>
    <row r="293" customFormat="false" ht="15" hidden="false" customHeight="false" outlineLevel="0" collapsed="false">
      <c r="A293" s="2" t="s">
        <v>368</v>
      </c>
      <c r="B293" s="2" t="s">
        <v>21</v>
      </c>
      <c r="C293" s="2" t="s">
        <v>22</v>
      </c>
      <c r="D293" s="2" t="s">
        <v>17</v>
      </c>
      <c r="E293" s="2" t="s">
        <v>28</v>
      </c>
      <c r="F293" s="2" t="s">
        <v>19</v>
      </c>
      <c r="G293" s="2" t="n">
        <v>2018</v>
      </c>
      <c r="H293" s="3" t="n">
        <v>10756.4</v>
      </c>
      <c r="I293" s="3" t="n">
        <v>7776.1</v>
      </c>
      <c r="J293" s="3" t="n">
        <v>2980.3</v>
      </c>
      <c r="K293" s="3" t="n">
        <v>3834.9</v>
      </c>
      <c r="L293" s="4" t="n">
        <v>35.65226284</v>
      </c>
      <c r="M293" s="3" t="n">
        <v>6921.5</v>
      </c>
      <c r="N293" s="4" t="n">
        <v>64.34773716</v>
      </c>
    </row>
    <row r="294" customFormat="false" ht="15" hidden="false" customHeight="false" outlineLevel="0" collapsed="false">
      <c r="A294" s="2" t="s">
        <v>369</v>
      </c>
      <c r="B294" s="2" t="s">
        <v>21</v>
      </c>
      <c r="C294" s="2" t="s">
        <v>22</v>
      </c>
      <c r="D294" s="2" t="s">
        <v>17</v>
      </c>
      <c r="E294" s="2" t="s">
        <v>28</v>
      </c>
      <c r="F294" s="2" t="s">
        <v>19</v>
      </c>
      <c r="G294" s="2" t="n">
        <v>2002</v>
      </c>
      <c r="H294" s="3" t="n">
        <v>10731.7</v>
      </c>
      <c r="I294" s="3" t="n">
        <v>6224.9</v>
      </c>
      <c r="J294" s="3" t="n">
        <v>4506.8</v>
      </c>
      <c r="K294" s="3" t="n">
        <v>3239.2</v>
      </c>
      <c r="L294" s="4" t="n">
        <v>30.18347513</v>
      </c>
      <c r="M294" s="3" t="n">
        <v>7492.5</v>
      </c>
      <c r="N294" s="4" t="n">
        <v>69.81652487</v>
      </c>
    </row>
    <row r="295" customFormat="false" ht="15" hidden="false" customHeight="false" outlineLevel="0" collapsed="false">
      <c r="A295" s="2" t="s">
        <v>370</v>
      </c>
      <c r="B295" s="2" t="s">
        <v>21</v>
      </c>
      <c r="C295" s="2" t="s">
        <v>22</v>
      </c>
      <c r="D295" s="2" t="s">
        <v>17</v>
      </c>
      <c r="E295" s="2" t="s">
        <v>28</v>
      </c>
      <c r="F295" s="2" t="s">
        <v>19</v>
      </c>
      <c r="G295" s="2" t="n">
        <v>2014</v>
      </c>
      <c r="H295" s="3" t="n">
        <v>10712.8</v>
      </c>
      <c r="I295" s="3" t="n">
        <v>6060.2</v>
      </c>
      <c r="J295" s="3" t="n">
        <v>4663.4</v>
      </c>
      <c r="K295" s="3" t="n">
        <v>4257.4</v>
      </c>
      <c r="L295" s="4" t="n">
        <v>39.74124412</v>
      </c>
      <c r="M295" s="3" t="n">
        <v>6455.4</v>
      </c>
      <c r="N295" s="4" t="n">
        <v>60.25875588</v>
      </c>
    </row>
    <row r="296" customFormat="false" ht="15" hidden="false" customHeight="false" outlineLevel="0" collapsed="false">
      <c r="A296" s="2" t="s">
        <v>371</v>
      </c>
      <c r="B296" s="2" t="s">
        <v>79</v>
      </c>
      <c r="C296" s="2" t="s">
        <v>34</v>
      </c>
      <c r="D296" s="2" t="s">
        <v>17</v>
      </c>
      <c r="E296" s="2" t="s">
        <v>23</v>
      </c>
      <c r="F296" s="2" t="s">
        <v>49</v>
      </c>
      <c r="G296" s="2" t="n">
        <v>2012</v>
      </c>
      <c r="H296" s="3" t="n">
        <v>10711.2</v>
      </c>
      <c r="I296" s="3" t="n">
        <v>10381.4</v>
      </c>
      <c r="J296" s="3" t="n">
        <v>333.5</v>
      </c>
      <c r="K296" s="3" t="n">
        <v>73.4</v>
      </c>
      <c r="L296" s="4" t="n">
        <v>0.6852640227</v>
      </c>
      <c r="M296" s="3" t="n">
        <v>10637.8</v>
      </c>
      <c r="N296" s="4" t="n">
        <v>99.31473598</v>
      </c>
    </row>
    <row r="297" customFormat="false" ht="15" hidden="false" customHeight="false" outlineLevel="0" collapsed="false">
      <c r="A297" s="2" t="s">
        <v>372</v>
      </c>
      <c r="B297" s="2" t="s">
        <v>15</v>
      </c>
      <c r="C297" s="2" t="s">
        <v>34</v>
      </c>
      <c r="D297" s="2" t="s">
        <v>17</v>
      </c>
      <c r="E297" s="2" t="s">
        <v>52</v>
      </c>
      <c r="F297" s="2" t="s">
        <v>19</v>
      </c>
      <c r="G297" s="2" t="n">
        <v>1967</v>
      </c>
      <c r="H297" s="3" t="n">
        <v>10696.6</v>
      </c>
      <c r="I297" s="3" t="n">
        <v>8379.6</v>
      </c>
      <c r="J297" s="3" t="n">
        <v>2317</v>
      </c>
      <c r="K297" s="3" t="n">
        <v>8204.5</v>
      </c>
      <c r="L297" s="4" t="n">
        <v>76.70194267</v>
      </c>
      <c r="M297" s="3" t="n">
        <v>2492.1</v>
      </c>
      <c r="N297" s="4" t="n">
        <v>23.29805733</v>
      </c>
    </row>
    <row r="298" customFormat="false" ht="15" hidden="false" customHeight="false" outlineLevel="0" collapsed="false">
      <c r="A298" s="2" t="s">
        <v>373</v>
      </c>
      <c r="B298" s="2" t="s">
        <v>15</v>
      </c>
      <c r="C298" s="2" t="s">
        <v>205</v>
      </c>
      <c r="D298" s="2" t="s">
        <v>17</v>
      </c>
      <c r="E298" s="2" t="s">
        <v>52</v>
      </c>
      <c r="F298" s="2" t="s">
        <v>49</v>
      </c>
      <c r="G298" s="2" t="n">
        <v>1979</v>
      </c>
      <c r="H298" s="3" t="n">
        <v>10616.1</v>
      </c>
      <c r="I298" s="3" t="n">
        <v>10020.5</v>
      </c>
      <c r="J298" s="3" t="n">
        <v>599.3</v>
      </c>
      <c r="K298" s="3" t="n">
        <v>9771.3</v>
      </c>
      <c r="L298" s="4" t="n">
        <v>92.04227541</v>
      </c>
      <c r="M298" s="3" t="n">
        <v>844.8</v>
      </c>
      <c r="N298" s="4" t="n">
        <v>7.957724588</v>
      </c>
    </row>
    <row r="299" customFormat="false" ht="15" hidden="false" customHeight="false" outlineLevel="0" collapsed="false">
      <c r="A299" s="2" t="s">
        <v>374</v>
      </c>
      <c r="B299" s="2" t="s">
        <v>15</v>
      </c>
      <c r="C299" s="2" t="s">
        <v>22</v>
      </c>
      <c r="D299" s="2" t="s">
        <v>25</v>
      </c>
      <c r="E299" s="2" t="s">
        <v>152</v>
      </c>
      <c r="F299" s="2" t="s">
        <v>49</v>
      </c>
      <c r="G299" s="2" t="n">
        <v>1996</v>
      </c>
      <c r="H299" s="3" t="n">
        <v>10607</v>
      </c>
      <c r="I299" s="3" t="n">
        <v>10520.3</v>
      </c>
      <c r="J299" s="3" t="n">
        <v>92.7</v>
      </c>
      <c r="K299" s="3" t="n">
        <v>8371.3</v>
      </c>
      <c r="L299" s="4" t="n">
        <v>78.92240973</v>
      </c>
      <c r="M299" s="3" t="n">
        <v>2235.7</v>
      </c>
      <c r="N299" s="4" t="n">
        <v>21.07759027</v>
      </c>
    </row>
    <row r="300" customFormat="false" ht="15" hidden="false" customHeight="false" outlineLevel="0" collapsed="false">
      <c r="A300" s="2" t="s">
        <v>375</v>
      </c>
      <c r="B300" s="2" t="s">
        <v>15</v>
      </c>
      <c r="C300" s="2" t="s">
        <v>22</v>
      </c>
      <c r="D300" s="2" t="s">
        <v>17</v>
      </c>
      <c r="E300" s="2" t="s">
        <v>52</v>
      </c>
      <c r="F300" s="2" t="s">
        <v>49</v>
      </c>
      <c r="G300" s="2" t="n">
        <v>1994</v>
      </c>
      <c r="H300" s="3" t="n">
        <v>10571.1</v>
      </c>
      <c r="I300" s="3" t="n">
        <v>10570.2</v>
      </c>
      <c r="J300" s="3" t="n">
        <v>4.5</v>
      </c>
      <c r="K300" s="3" t="n">
        <v>10555.6</v>
      </c>
      <c r="L300" s="4" t="n">
        <v>99.85337382</v>
      </c>
      <c r="M300" s="3" t="n">
        <v>15.5</v>
      </c>
      <c r="N300" s="4" t="n">
        <v>0.1466261789</v>
      </c>
    </row>
    <row r="301" customFormat="false" ht="15" hidden="false" customHeight="false" outlineLevel="0" collapsed="false">
      <c r="A301" s="2" t="s">
        <v>376</v>
      </c>
      <c r="B301" s="2" t="s">
        <v>15</v>
      </c>
      <c r="C301" s="2" t="s">
        <v>34</v>
      </c>
      <c r="D301" s="2" t="s">
        <v>17</v>
      </c>
      <c r="E301" s="2" t="s">
        <v>52</v>
      </c>
      <c r="F301" s="2" t="s">
        <v>49</v>
      </c>
      <c r="G301" s="2" t="n">
        <v>2012</v>
      </c>
      <c r="H301" s="3" t="n">
        <v>10489.6</v>
      </c>
      <c r="I301" s="3" t="n">
        <v>10191.7</v>
      </c>
      <c r="J301" s="3" t="n">
        <v>301.5</v>
      </c>
      <c r="K301" s="3" t="n">
        <v>10165.9</v>
      </c>
      <c r="L301" s="4" t="n">
        <v>96.91408633</v>
      </c>
      <c r="M301" s="3" t="n">
        <v>323.7</v>
      </c>
      <c r="N301" s="4" t="n">
        <v>3.085913667</v>
      </c>
    </row>
    <row r="302" customFormat="false" ht="15" hidden="false" customHeight="false" outlineLevel="0" collapsed="false">
      <c r="A302" s="2" t="s">
        <v>377</v>
      </c>
      <c r="B302" s="2" t="s">
        <v>21</v>
      </c>
      <c r="C302" s="2" t="s">
        <v>223</v>
      </c>
      <c r="D302" s="2" t="s">
        <v>25</v>
      </c>
      <c r="E302" s="2" t="s">
        <v>83</v>
      </c>
      <c r="F302" s="2" t="s">
        <v>19</v>
      </c>
      <c r="G302" s="2" t="n">
        <v>2019</v>
      </c>
      <c r="H302" s="3" t="n">
        <v>10476.9</v>
      </c>
      <c r="I302" s="3" t="n">
        <v>3977.8</v>
      </c>
      <c r="J302" s="3" t="n">
        <v>6499.1</v>
      </c>
      <c r="K302" s="3" t="n">
        <v>2597.3</v>
      </c>
      <c r="L302" s="4" t="n">
        <v>24.79073008</v>
      </c>
      <c r="M302" s="3" t="n">
        <v>7879.6</v>
      </c>
      <c r="N302" s="4" t="n">
        <v>75.20926992</v>
      </c>
    </row>
    <row r="303" customFormat="false" ht="15" hidden="false" customHeight="false" outlineLevel="0" collapsed="false">
      <c r="A303" s="2" t="s">
        <v>378</v>
      </c>
      <c r="B303" s="2" t="s">
        <v>15</v>
      </c>
      <c r="C303" s="2" t="s">
        <v>34</v>
      </c>
      <c r="D303" s="2" t="s">
        <v>17</v>
      </c>
      <c r="E303" s="2" t="s">
        <v>18</v>
      </c>
      <c r="F303" s="2" t="s">
        <v>19</v>
      </c>
      <c r="G303" s="2" t="n">
        <v>2006</v>
      </c>
      <c r="H303" s="3" t="n">
        <v>10449</v>
      </c>
      <c r="I303" s="3" t="n">
        <v>7062.7</v>
      </c>
      <c r="J303" s="3" t="n">
        <v>3394.7</v>
      </c>
      <c r="K303" s="3" t="n">
        <v>6337.8</v>
      </c>
      <c r="L303" s="4" t="n">
        <v>60.6546081</v>
      </c>
      <c r="M303" s="3" t="n">
        <v>4111.2</v>
      </c>
      <c r="N303" s="4" t="n">
        <v>39.3453919</v>
      </c>
    </row>
    <row r="304" customFormat="false" ht="15" hidden="false" customHeight="false" outlineLevel="0" collapsed="false">
      <c r="A304" s="2" t="s">
        <v>379</v>
      </c>
      <c r="B304" s="2" t="s">
        <v>15</v>
      </c>
      <c r="C304" s="2" t="s">
        <v>22</v>
      </c>
      <c r="D304" s="2" t="s">
        <v>17</v>
      </c>
      <c r="E304" s="2" t="s">
        <v>28</v>
      </c>
      <c r="F304" s="2" t="s">
        <v>19</v>
      </c>
      <c r="G304" s="2" t="n">
        <v>2015</v>
      </c>
      <c r="H304" s="3" t="n">
        <v>10368.7</v>
      </c>
      <c r="I304" s="3" t="n">
        <v>9179.2</v>
      </c>
      <c r="J304" s="3" t="n">
        <v>1201.2</v>
      </c>
      <c r="K304" s="3" t="n">
        <v>8970.6</v>
      </c>
      <c r="L304" s="4" t="n">
        <v>86.51614957</v>
      </c>
      <c r="M304" s="3" t="n">
        <v>1398.1</v>
      </c>
      <c r="N304" s="4" t="n">
        <v>13.48385043</v>
      </c>
    </row>
    <row r="305" customFormat="false" ht="15" hidden="false" customHeight="false" outlineLevel="0" collapsed="false">
      <c r="A305" s="2" t="s">
        <v>380</v>
      </c>
      <c r="B305" s="2" t="s">
        <v>15</v>
      </c>
      <c r="C305" s="2" t="s">
        <v>22</v>
      </c>
      <c r="D305" s="2" t="s">
        <v>25</v>
      </c>
      <c r="E305" s="2" t="s">
        <v>26</v>
      </c>
      <c r="F305" s="2" t="s">
        <v>19</v>
      </c>
      <c r="G305" s="2" t="n">
        <v>2004</v>
      </c>
      <c r="H305" s="3" t="n">
        <v>10352.8</v>
      </c>
      <c r="I305" s="3" t="n">
        <v>1937.7</v>
      </c>
      <c r="J305" s="3" t="n">
        <v>8415.1</v>
      </c>
      <c r="K305" s="3" t="n">
        <v>410.2</v>
      </c>
      <c r="L305" s="4" t="n">
        <v>3.962213121</v>
      </c>
      <c r="M305" s="3" t="n">
        <v>9942.6</v>
      </c>
      <c r="N305" s="4" t="n">
        <v>96.03778688</v>
      </c>
    </row>
    <row r="306" customFormat="false" ht="15" hidden="false" customHeight="false" outlineLevel="0" collapsed="false">
      <c r="A306" s="2" t="s">
        <v>381</v>
      </c>
      <c r="B306" s="2" t="s">
        <v>15</v>
      </c>
      <c r="C306" s="2" t="s">
        <v>382</v>
      </c>
      <c r="D306" s="2" t="s">
        <v>17</v>
      </c>
      <c r="E306" s="2" t="s">
        <v>23</v>
      </c>
      <c r="F306" s="2" t="s">
        <v>19</v>
      </c>
      <c r="G306" s="2" t="n">
        <v>2006</v>
      </c>
      <c r="H306" s="3" t="n">
        <v>10332.8</v>
      </c>
      <c r="I306" s="3" t="n">
        <v>7323</v>
      </c>
      <c r="J306" s="3" t="n">
        <v>3009.8</v>
      </c>
      <c r="K306" s="3" t="n">
        <v>6153.5</v>
      </c>
      <c r="L306" s="4" t="n">
        <v>59.55307371</v>
      </c>
      <c r="M306" s="3" t="n">
        <v>4179.3</v>
      </c>
      <c r="N306" s="4" t="n">
        <v>40.44692629</v>
      </c>
    </row>
    <row r="307" customFormat="false" ht="15" hidden="false" customHeight="false" outlineLevel="0" collapsed="false">
      <c r="A307" s="2" t="s">
        <v>383</v>
      </c>
      <c r="B307" s="2" t="s">
        <v>15</v>
      </c>
      <c r="C307" s="2" t="s">
        <v>22</v>
      </c>
      <c r="D307" s="2" t="s">
        <v>17</v>
      </c>
      <c r="E307" s="2" t="s">
        <v>23</v>
      </c>
      <c r="F307" s="2" t="s">
        <v>19</v>
      </c>
      <c r="G307" s="2" t="n">
        <v>2017</v>
      </c>
      <c r="H307" s="3" t="n">
        <v>10313.5</v>
      </c>
      <c r="I307" s="3" t="n">
        <v>10145.1</v>
      </c>
      <c r="J307" s="3" t="n">
        <v>172</v>
      </c>
      <c r="K307" s="3" t="n">
        <v>10141.5</v>
      </c>
      <c r="L307" s="4" t="n">
        <v>98.33228293</v>
      </c>
      <c r="M307" s="3" t="n">
        <v>172</v>
      </c>
      <c r="N307" s="4" t="n">
        <v>1.66771707</v>
      </c>
    </row>
    <row r="308" customFormat="false" ht="15" hidden="false" customHeight="false" outlineLevel="0" collapsed="false">
      <c r="A308" s="2" t="s">
        <v>384</v>
      </c>
      <c r="B308" s="2" t="s">
        <v>15</v>
      </c>
      <c r="C308" s="2" t="s">
        <v>22</v>
      </c>
      <c r="D308" s="2" t="s">
        <v>17</v>
      </c>
      <c r="E308" s="2" t="s">
        <v>18</v>
      </c>
      <c r="F308" s="2" t="s">
        <v>19</v>
      </c>
      <c r="G308" s="2" t="n">
        <v>1999</v>
      </c>
      <c r="H308" s="3" t="n">
        <v>10293</v>
      </c>
      <c r="I308" s="3" t="n">
        <v>6016.2</v>
      </c>
      <c r="J308" s="3" t="n">
        <v>4284.3</v>
      </c>
      <c r="K308" s="3" t="n">
        <v>745.9</v>
      </c>
      <c r="L308" s="4" t="n">
        <v>7.246672496</v>
      </c>
      <c r="M308" s="3" t="n">
        <v>9547.1</v>
      </c>
      <c r="N308" s="4" t="n">
        <v>92.7533275</v>
      </c>
    </row>
    <row r="309" customFormat="false" ht="15" hidden="false" customHeight="false" outlineLevel="0" collapsed="false">
      <c r="A309" s="2" t="s">
        <v>385</v>
      </c>
      <c r="B309" s="2" t="s">
        <v>15</v>
      </c>
      <c r="C309" s="2" t="s">
        <v>349</v>
      </c>
      <c r="D309" s="2" t="s">
        <v>17</v>
      </c>
      <c r="E309" s="2" t="s">
        <v>350</v>
      </c>
      <c r="F309" s="2" t="s">
        <v>19</v>
      </c>
      <c r="G309" s="2" t="n">
        <v>2012</v>
      </c>
      <c r="H309" s="3" t="n">
        <v>10290.6</v>
      </c>
      <c r="I309" s="3" t="n">
        <v>2289.2</v>
      </c>
      <c r="J309" s="3" t="n">
        <v>8003.8</v>
      </c>
      <c r="K309" s="3" t="n">
        <v>4395.8</v>
      </c>
      <c r="L309" s="4" t="n">
        <v>42.71665403</v>
      </c>
      <c r="M309" s="3" t="n">
        <v>5894.8</v>
      </c>
      <c r="N309" s="4" t="n">
        <v>57.28334597</v>
      </c>
    </row>
    <row r="310" customFormat="false" ht="15" hidden="false" customHeight="false" outlineLevel="0" collapsed="false">
      <c r="A310" s="2" t="s">
        <v>386</v>
      </c>
      <c r="B310" s="2" t="s">
        <v>15</v>
      </c>
      <c r="C310" s="2" t="s">
        <v>387</v>
      </c>
      <c r="D310" s="2" t="s">
        <v>25</v>
      </c>
      <c r="E310" s="2" t="s">
        <v>83</v>
      </c>
      <c r="F310" s="2" t="s">
        <v>19</v>
      </c>
      <c r="G310" s="2" t="n">
        <v>2009</v>
      </c>
      <c r="H310" s="3" t="n">
        <v>10234.3</v>
      </c>
      <c r="I310" s="3" t="n">
        <v>8102.5</v>
      </c>
      <c r="J310" s="3" t="n">
        <v>2138.3</v>
      </c>
      <c r="K310" s="3" t="n">
        <v>6955</v>
      </c>
      <c r="L310" s="4" t="n">
        <v>67.95774992</v>
      </c>
      <c r="M310" s="3" t="n">
        <v>3279.3</v>
      </c>
      <c r="N310" s="4" t="n">
        <v>32.04225008</v>
      </c>
    </row>
    <row r="311" customFormat="false" ht="15" hidden="false" customHeight="false" outlineLevel="0" collapsed="false">
      <c r="A311" s="2" t="s">
        <v>388</v>
      </c>
      <c r="B311" s="2" t="s">
        <v>15</v>
      </c>
      <c r="C311" s="2" t="s">
        <v>22</v>
      </c>
      <c r="D311" s="2" t="s">
        <v>17</v>
      </c>
      <c r="E311" s="2" t="s">
        <v>18</v>
      </c>
      <c r="F311" s="2" t="s">
        <v>19</v>
      </c>
      <c r="G311" s="2" t="n">
        <v>2003</v>
      </c>
      <c r="H311" s="3" t="n">
        <v>10231.2</v>
      </c>
      <c r="I311" s="3" t="n">
        <v>7551.1</v>
      </c>
      <c r="J311" s="3" t="n">
        <v>2685</v>
      </c>
      <c r="K311" s="3" t="n">
        <v>2118.4</v>
      </c>
      <c r="L311" s="4" t="n">
        <v>20.70529361</v>
      </c>
      <c r="M311" s="3" t="n">
        <v>8112.8</v>
      </c>
      <c r="N311" s="4" t="n">
        <v>79.29470639</v>
      </c>
    </row>
    <row r="312" customFormat="false" ht="15" hidden="false" customHeight="false" outlineLevel="0" collapsed="false">
      <c r="A312" s="2" t="s">
        <v>389</v>
      </c>
      <c r="B312" s="2" t="s">
        <v>15</v>
      </c>
      <c r="C312" s="2" t="s">
        <v>22</v>
      </c>
      <c r="D312" s="2" t="s">
        <v>17</v>
      </c>
      <c r="E312" s="2" t="s">
        <v>52</v>
      </c>
      <c r="F312" s="2" t="s">
        <v>49</v>
      </c>
      <c r="G312" s="2" t="n">
        <v>2002</v>
      </c>
      <c r="H312" s="3" t="n">
        <v>10180.2</v>
      </c>
      <c r="I312" s="3" t="n">
        <v>10185.8</v>
      </c>
      <c r="J312" s="3" t="n">
        <v>0</v>
      </c>
      <c r="K312" s="3" t="n">
        <v>10132.8</v>
      </c>
      <c r="L312" s="4" t="n">
        <v>99.53439029</v>
      </c>
      <c r="M312" s="3" t="n">
        <v>47.4</v>
      </c>
      <c r="N312" s="4" t="n">
        <v>0.465609713</v>
      </c>
    </row>
    <row r="313" customFormat="false" ht="15" hidden="false" customHeight="false" outlineLevel="0" collapsed="false">
      <c r="A313" s="2" t="s">
        <v>390</v>
      </c>
      <c r="B313" s="2" t="s">
        <v>21</v>
      </c>
      <c r="C313" s="2" t="s">
        <v>16</v>
      </c>
      <c r="D313" s="2" t="s">
        <v>17</v>
      </c>
      <c r="E313" s="2" t="s">
        <v>23</v>
      </c>
      <c r="F313" s="2" t="s">
        <v>19</v>
      </c>
      <c r="G313" s="2" t="n">
        <v>2015</v>
      </c>
      <c r="H313" s="3" t="n">
        <v>10179.3</v>
      </c>
      <c r="I313" s="3" t="n">
        <v>6431.1</v>
      </c>
      <c r="J313" s="3" t="n">
        <v>3750.4</v>
      </c>
      <c r="K313" s="3" t="n">
        <v>5420.2</v>
      </c>
      <c r="L313" s="4" t="n">
        <v>53.24727634</v>
      </c>
      <c r="M313" s="3" t="n">
        <v>4759.1</v>
      </c>
      <c r="N313" s="4" t="n">
        <v>46.75272366</v>
      </c>
    </row>
    <row r="314" customFormat="false" ht="15" hidden="false" customHeight="false" outlineLevel="0" collapsed="false">
      <c r="A314" s="2" t="s">
        <v>391</v>
      </c>
      <c r="B314" s="2" t="s">
        <v>15</v>
      </c>
      <c r="C314" s="2" t="s">
        <v>72</v>
      </c>
      <c r="D314" s="2" t="s">
        <v>73</v>
      </c>
      <c r="E314" s="2" t="s">
        <v>74</v>
      </c>
      <c r="F314" s="2" t="s">
        <v>49</v>
      </c>
      <c r="G314" s="2" t="n">
        <v>1999</v>
      </c>
      <c r="H314" s="3" t="n">
        <v>10165</v>
      </c>
      <c r="I314" s="3" t="n">
        <v>8858.9</v>
      </c>
      <c r="J314" s="3" t="n">
        <v>1312.6</v>
      </c>
      <c r="K314" s="3" t="n">
        <v>6.7</v>
      </c>
      <c r="L314" s="4" t="n">
        <v>0.06591244466</v>
      </c>
      <c r="M314" s="3" t="n">
        <v>10158.3</v>
      </c>
      <c r="N314" s="4" t="n">
        <v>99.93408756</v>
      </c>
    </row>
    <row r="315" customFormat="false" ht="15" hidden="false" customHeight="false" outlineLevel="0" collapsed="false">
      <c r="A315" s="2" t="s">
        <v>392</v>
      </c>
      <c r="B315" s="2" t="s">
        <v>15</v>
      </c>
      <c r="C315" s="2" t="s">
        <v>223</v>
      </c>
      <c r="D315" s="2" t="s">
        <v>25</v>
      </c>
      <c r="E315" s="2" t="s">
        <v>18</v>
      </c>
      <c r="F315" s="2" t="s">
        <v>19</v>
      </c>
      <c r="G315" s="2" t="n">
        <v>2017</v>
      </c>
      <c r="H315" s="3" t="n">
        <v>10160.5</v>
      </c>
      <c r="I315" s="3" t="n">
        <v>8082</v>
      </c>
      <c r="J315" s="3" t="n">
        <v>2081.7</v>
      </c>
      <c r="K315" s="3" t="n">
        <v>6415.1</v>
      </c>
      <c r="L315" s="4" t="n">
        <v>63.13764086</v>
      </c>
      <c r="M315" s="3" t="n">
        <v>3745.4</v>
      </c>
      <c r="N315" s="4" t="n">
        <v>36.86235914</v>
      </c>
    </row>
    <row r="316" customFormat="false" ht="15" hidden="false" customHeight="false" outlineLevel="0" collapsed="false">
      <c r="A316" s="2" t="s">
        <v>393</v>
      </c>
      <c r="B316" s="2" t="s">
        <v>15</v>
      </c>
      <c r="C316" s="2" t="s">
        <v>90</v>
      </c>
      <c r="D316" s="2" t="s">
        <v>25</v>
      </c>
      <c r="E316" s="2" t="s">
        <v>91</v>
      </c>
      <c r="F316" s="2" t="s">
        <v>49</v>
      </c>
      <c r="G316" s="2" t="n">
        <v>1997</v>
      </c>
      <c r="H316" s="3" t="n">
        <v>10147.9</v>
      </c>
      <c r="I316" s="3" t="n">
        <v>10065.9</v>
      </c>
      <c r="J316" s="3" t="n">
        <v>89.1</v>
      </c>
      <c r="K316" s="3" t="n">
        <v>9956.8</v>
      </c>
      <c r="L316" s="4" t="n">
        <v>98.11685176</v>
      </c>
      <c r="M316" s="3" t="n">
        <v>191.1</v>
      </c>
      <c r="N316" s="4" t="n">
        <v>1.883148238</v>
      </c>
    </row>
    <row r="317" customFormat="false" ht="15" hidden="false" customHeight="false" outlineLevel="0" collapsed="false">
      <c r="A317" s="2" t="s">
        <v>394</v>
      </c>
      <c r="B317" s="2" t="s">
        <v>15</v>
      </c>
      <c r="C317" s="2" t="s">
        <v>22</v>
      </c>
      <c r="D317" s="2" t="s">
        <v>17</v>
      </c>
      <c r="E317" s="2" t="s">
        <v>18</v>
      </c>
      <c r="F317" s="2" t="s">
        <v>19</v>
      </c>
      <c r="G317" s="2" t="n">
        <v>2015</v>
      </c>
      <c r="H317" s="3" t="n">
        <v>10141.7</v>
      </c>
      <c r="I317" s="3" t="n">
        <v>9084.2</v>
      </c>
      <c r="J317" s="3" t="n">
        <v>1067.9</v>
      </c>
      <c r="K317" s="3" t="n">
        <v>7696.5</v>
      </c>
      <c r="L317" s="4" t="n">
        <v>75.88964375</v>
      </c>
      <c r="M317" s="3" t="n">
        <v>2445.2</v>
      </c>
      <c r="N317" s="4" t="n">
        <v>24.11035625</v>
      </c>
    </row>
    <row r="318" customFormat="false" ht="15" hidden="false" customHeight="false" outlineLevel="0" collapsed="false">
      <c r="A318" s="2" t="s">
        <v>395</v>
      </c>
      <c r="B318" s="2" t="s">
        <v>15</v>
      </c>
      <c r="C318" s="2" t="s">
        <v>167</v>
      </c>
      <c r="D318" s="2" t="s">
        <v>168</v>
      </c>
      <c r="E318" s="2" t="s">
        <v>169</v>
      </c>
      <c r="F318" s="2" t="s">
        <v>49</v>
      </c>
      <c r="G318" s="2" t="n">
        <v>2010</v>
      </c>
      <c r="H318" s="3" t="n">
        <v>10122.5</v>
      </c>
      <c r="I318" s="3" t="n">
        <v>8138.6</v>
      </c>
      <c r="J318" s="3" t="n">
        <v>1988.4</v>
      </c>
      <c r="K318" s="3" t="n">
        <v>5614.2</v>
      </c>
      <c r="L318" s="4" t="n">
        <v>55.46258335</v>
      </c>
      <c r="M318" s="3" t="n">
        <v>4508.3</v>
      </c>
      <c r="N318" s="4" t="n">
        <v>44.53741665</v>
      </c>
    </row>
    <row r="319" customFormat="false" ht="15" hidden="false" customHeight="false" outlineLevel="0" collapsed="false">
      <c r="A319" s="2" t="s">
        <v>396</v>
      </c>
      <c r="B319" s="2" t="s">
        <v>15</v>
      </c>
      <c r="C319" s="2" t="s">
        <v>167</v>
      </c>
      <c r="D319" s="2" t="s">
        <v>168</v>
      </c>
      <c r="E319" s="2" t="s">
        <v>61</v>
      </c>
      <c r="F319" s="2" t="s">
        <v>19</v>
      </c>
      <c r="G319" s="2" t="n">
        <v>2004</v>
      </c>
      <c r="H319" s="3" t="n">
        <v>10115.7</v>
      </c>
      <c r="I319" s="3" t="n">
        <v>9351.5</v>
      </c>
      <c r="J319" s="3" t="n">
        <v>766.2</v>
      </c>
      <c r="K319" s="3" t="n">
        <v>269.8</v>
      </c>
      <c r="L319" s="4" t="n">
        <v>2.667141177</v>
      </c>
      <c r="M319" s="3" t="n">
        <v>9845.9</v>
      </c>
      <c r="N319" s="4" t="n">
        <v>97.33285882</v>
      </c>
    </row>
    <row r="320" customFormat="false" ht="15" hidden="false" customHeight="false" outlineLevel="0" collapsed="false">
      <c r="A320" s="2" t="s">
        <v>397</v>
      </c>
      <c r="B320" s="2" t="s">
        <v>15</v>
      </c>
      <c r="C320" s="2" t="s">
        <v>34</v>
      </c>
      <c r="D320" s="2" t="s">
        <v>17</v>
      </c>
      <c r="E320" s="2" t="s">
        <v>52</v>
      </c>
      <c r="F320" s="2" t="s">
        <v>49</v>
      </c>
      <c r="G320" s="2" t="n">
        <v>2006</v>
      </c>
      <c r="H320" s="3" t="n">
        <v>10108</v>
      </c>
      <c r="I320" s="3" t="n">
        <v>8333.7</v>
      </c>
      <c r="J320" s="3" t="n">
        <v>1782</v>
      </c>
      <c r="K320" s="3" t="n">
        <v>8006.1</v>
      </c>
      <c r="L320" s="4" t="n">
        <v>79.20557974</v>
      </c>
      <c r="M320" s="3" t="n">
        <v>2101.9</v>
      </c>
      <c r="N320" s="4" t="n">
        <v>20.79442026</v>
      </c>
    </row>
    <row r="321" customFormat="false" ht="15" hidden="false" customHeight="false" outlineLevel="0" collapsed="false">
      <c r="A321" s="2" t="s">
        <v>398</v>
      </c>
      <c r="B321" s="2" t="s">
        <v>15</v>
      </c>
      <c r="C321" s="2" t="s">
        <v>34</v>
      </c>
      <c r="D321" s="2" t="s">
        <v>17</v>
      </c>
      <c r="E321" s="2" t="s">
        <v>18</v>
      </c>
      <c r="F321" s="2" t="s">
        <v>19</v>
      </c>
      <c r="G321" s="2" t="n">
        <v>2014</v>
      </c>
      <c r="H321" s="3" t="n">
        <v>10095.5</v>
      </c>
      <c r="I321" s="3" t="n">
        <v>6587</v>
      </c>
      <c r="J321" s="3" t="n">
        <v>3508.5</v>
      </c>
      <c r="K321" s="3" t="n">
        <v>5050.9</v>
      </c>
      <c r="L321" s="4" t="n">
        <v>50.03120202</v>
      </c>
      <c r="M321" s="3" t="n">
        <v>5044.6</v>
      </c>
      <c r="N321" s="4" t="n">
        <v>49.96879798</v>
      </c>
    </row>
    <row r="322" customFormat="false" ht="15" hidden="false" customHeight="false" outlineLevel="0" collapsed="false">
      <c r="A322" s="2" t="s">
        <v>399</v>
      </c>
      <c r="B322" s="2" t="s">
        <v>79</v>
      </c>
      <c r="C322" s="2" t="s">
        <v>22</v>
      </c>
      <c r="D322" s="2" t="s">
        <v>17</v>
      </c>
      <c r="E322" s="2" t="s">
        <v>140</v>
      </c>
      <c r="F322" s="2" t="s">
        <v>49</v>
      </c>
      <c r="G322" s="2" t="n">
        <v>2009</v>
      </c>
      <c r="H322" s="3" t="n">
        <v>10048.3</v>
      </c>
      <c r="I322" s="3" t="n">
        <v>3456.4</v>
      </c>
      <c r="J322" s="3" t="n">
        <v>6591.9</v>
      </c>
      <c r="K322" s="3" t="n">
        <v>257</v>
      </c>
      <c r="L322" s="4" t="n">
        <v>2.557646567</v>
      </c>
      <c r="M322" s="3" t="n">
        <v>9791.3</v>
      </c>
      <c r="N322" s="4" t="n">
        <v>97.44235343</v>
      </c>
    </row>
    <row r="323" customFormat="false" ht="15" hidden="false" customHeight="false" outlineLevel="0" collapsed="false">
      <c r="A323" s="2" t="s">
        <v>400</v>
      </c>
      <c r="B323" s="2" t="s">
        <v>15</v>
      </c>
      <c r="C323" s="2" t="s">
        <v>16</v>
      </c>
      <c r="D323" s="2" t="s">
        <v>17</v>
      </c>
      <c r="E323" s="2" t="s">
        <v>52</v>
      </c>
      <c r="F323" s="2" t="s">
        <v>19</v>
      </c>
      <c r="G323" s="2" t="n">
        <v>2012</v>
      </c>
      <c r="H323" s="3" t="n">
        <v>9970.2</v>
      </c>
      <c r="I323" s="3" t="n">
        <v>9813.7</v>
      </c>
      <c r="J323" s="3" t="n">
        <v>161.5</v>
      </c>
      <c r="K323" s="3" t="n">
        <v>9795.8</v>
      </c>
      <c r="L323" s="4" t="n">
        <v>98.25078735</v>
      </c>
      <c r="M323" s="3" t="n">
        <v>174.4</v>
      </c>
      <c r="N323" s="4" t="n">
        <v>1.749212654</v>
      </c>
    </row>
    <row r="324" customFormat="false" ht="15" hidden="false" customHeight="false" outlineLevel="0" collapsed="false">
      <c r="A324" s="2" t="s">
        <v>401</v>
      </c>
      <c r="B324" s="2" t="s">
        <v>15</v>
      </c>
      <c r="C324" s="2" t="s">
        <v>22</v>
      </c>
      <c r="D324" s="2" t="s">
        <v>17</v>
      </c>
      <c r="E324" s="2" t="s">
        <v>23</v>
      </c>
      <c r="F324" s="2" t="s">
        <v>19</v>
      </c>
      <c r="G324" s="2" t="n">
        <v>2021</v>
      </c>
      <c r="H324" s="3" t="n">
        <v>9949.6</v>
      </c>
      <c r="I324" s="3" t="n">
        <v>9956.4</v>
      </c>
      <c r="J324" s="3" t="n">
        <v>0</v>
      </c>
      <c r="K324" s="3" t="n">
        <v>9911.9</v>
      </c>
      <c r="L324" s="4" t="n">
        <v>99.6210903</v>
      </c>
      <c r="M324" s="3" t="n">
        <v>37.7</v>
      </c>
      <c r="N324" s="4" t="n">
        <v>0.3789097049</v>
      </c>
    </row>
    <row r="325" customFormat="false" ht="15" hidden="false" customHeight="false" outlineLevel="0" collapsed="false">
      <c r="A325" s="2" t="s">
        <v>402</v>
      </c>
      <c r="B325" s="2" t="s">
        <v>15</v>
      </c>
      <c r="C325" s="2" t="s">
        <v>22</v>
      </c>
      <c r="D325" s="2" t="s">
        <v>25</v>
      </c>
      <c r="E325" s="2" t="s">
        <v>26</v>
      </c>
      <c r="F325" s="2" t="s">
        <v>19</v>
      </c>
      <c r="G325" s="2" t="n">
        <v>2014</v>
      </c>
      <c r="H325" s="3" t="n">
        <v>9948.7</v>
      </c>
      <c r="I325" s="3" t="n">
        <v>4105.3</v>
      </c>
      <c r="J325" s="3" t="n">
        <v>5843.4</v>
      </c>
      <c r="K325" s="3" t="n">
        <v>471.7</v>
      </c>
      <c r="L325" s="4" t="n">
        <v>4.741322987</v>
      </c>
      <c r="M325" s="3" t="n">
        <v>9477</v>
      </c>
      <c r="N325" s="4" t="n">
        <v>95.25867701</v>
      </c>
    </row>
    <row r="326" customFormat="false" ht="15" hidden="false" customHeight="false" outlineLevel="0" collapsed="false">
      <c r="A326" s="2" t="s">
        <v>403</v>
      </c>
      <c r="B326" s="2" t="s">
        <v>15</v>
      </c>
      <c r="C326" s="2" t="s">
        <v>16</v>
      </c>
      <c r="D326" s="2" t="s">
        <v>17</v>
      </c>
      <c r="E326" s="2" t="s">
        <v>52</v>
      </c>
      <c r="F326" s="2" t="s">
        <v>49</v>
      </c>
      <c r="G326" s="2" t="n">
        <v>1996</v>
      </c>
      <c r="H326" s="3" t="n">
        <v>9933.4</v>
      </c>
      <c r="I326" s="3" t="n">
        <v>9932.9</v>
      </c>
      <c r="J326" s="3" t="n">
        <v>6.1</v>
      </c>
      <c r="K326" s="3" t="n">
        <v>9864.7</v>
      </c>
      <c r="L326" s="4" t="n">
        <v>99.3083939</v>
      </c>
      <c r="M326" s="3" t="n">
        <v>68.7</v>
      </c>
      <c r="N326" s="4" t="n">
        <v>0.6916060966</v>
      </c>
    </row>
    <row r="327" customFormat="false" ht="15" hidden="false" customHeight="false" outlineLevel="0" collapsed="false">
      <c r="A327" s="2" t="s">
        <v>404</v>
      </c>
      <c r="B327" s="2" t="s">
        <v>15</v>
      </c>
      <c r="C327" s="2" t="s">
        <v>22</v>
      </c>
      <c r="D327" s="2" t="s">
        <v>25</v>
      </c>
      <c r="E327" s="2" t="s">
        <v>83</v>
      </c>
      <c r="F327" s="2" t="s">
        <v>19</v>
      </c>
      <c r="G327" s="2" t="n">
        <v>1988</v>
      </c>
      <c r="H327" s="3" t="n">
        <v>9914.5</v>
      </c>
      <c r="I327" s="3" t="n">
        <v>6239</v>
      </c>
      <c r="J327" s="3" t="n">
        <v>3689.5</v>
      </c>
      <c r="K327" s="3" t="n">
        <v>5931.4</v>
      </c>
      <c r="L327" s="4" t="n">
        <v>59.82550809</v>
      </c>
      <c r="M327" s="3" t="n">
        <v>3983.1</v>
      </c>
      <c r="N327" s="4" t="n">
        <v>40.17449191</v>
      </c>
    </row>
    <row r="328" customFormat="false" ht="15" hidden="false" customHeight="false" outlineLevel="0" collapsed="false">
      <c r="A328" s="2" t="s">
        <v>405</v>
      </c>
      <c r="B328" s="2" t="s">
        <v>79</v>
      </c>
      <c r="C328" s="2" t="s">
        <v>90</v>
      </c>
      <c r="D328" s="2" t="s">
        <v>25</v>
      </c>
      <c r="E328" s="2" t="s">
        <v>52</v>
      </c>
      <c r="F328" s="2" t="s">
        <v>49</v>
      </c>
      <c r="G328" s="2" t="n">
        <v>1987</v>
      </c>
      <c r="H328" s="3" t="n">
        <v>9914.4</v>
      </c>
      <c r="I328" s="3" t="n">
        <v>9921.1</v>
      </c>
      <c r="J328" s="3" t="n">
        <v>6.1</v>
      </c>
      <c r="K328" s="3" t="n">
        <v>7817.7</v>
      </c>
      <c r="L328" s="4" t="n">
        <v>78.85197289</v>
      </c>
      <c r="M328" s="3" t="n">
        <v>2096.7</v>
      </c>
      <c r="N328" s="4" t="n">
        <v>21.14802711</v>
      </c>
    </row>
    <row r="329" customFormat="false" ht="15" hidden="false" customHeight="false" outlineLevel="0" collapsed="false">
      <c r="A329" s="2" t="s">
        <v>406</v>
      </c>
      <c r="B329" s="2" t="s">
        <v>15</v>
      </c>
      <c r="C329" s="2" t="s">
        <v>34</v>
      </c>
      <c r="D329" s="2" t="s">
        <v>17</v>
      </c>
      <c r="E329" s="2" t="s">
        <v>52</v>
      </c>
      <c r="F329" s="2" t="s">
        <v>49</v>
      </c>
      <c r="G329" s="2" t="n">
        <v>1969</v>
      </c>
      <c r="H329" s="3" t="n">
        <v>9909.5</v>
      </c>
      <c r="I329" s="3" t="n">
        <v>9912.8</v>
      </c>
      <c r="J329" s="3" t="n">
        <v>0</v>
      </c>
      <c r="K329" s="3" t="n">
        <v>9909.5</v>
      </c>
      <c r="L329" s="4" t="n">
        <v>100</v>
      </c>
      <c r="M329" s="3" t="n">
        <v>0</v>
      </c>
      <c r="N329" s="4" t="n">
        <v>0</v>
      </c>
    </row>
    <row r="330" customFormat="false" ht="15" hidden="false" customHeight="false" outlineLevel="0" collapsed="false">
      <c r="A330" s="2" t="s">
        <v>407</v>
      </c>
      <c r="B330" s="2" t="s">
        <v>79</v>
      </c>
      <c r="C330" s="2" t="s">
        <v>408</v>
      </c>
      <c r="D330" s="2" t="s">
        <v>409</v>
      </c>
      <c r="E330" s="2" t="s">
        <v>52</v>
      </c>
      <c r="F330" s="2" t="s">
        <v>49</v>
      </c>
      <c r="G330" s="2" t="n">
        <v>2017</v>
      </c>
      <c r="H330" s="3" t="n">
        <v>9899.4</v>
      </c>
      <c r="I330" s="3" t="n">
        <v>9883</v>
      </c>
      <c r="J330" s="3" t="n">
        <v>20.1</v>
      </c>
      <c r="K330" s="3" t="n">
        <v>9351.9</v>
      </c>
      <c r="L330" s="4" t="n">
        <v>94.46936178</v>
      </c>
      <c r="M330" s="3" t="n">
        <v>547.5</v>
      </c>
      <c r="N330" s="4" t="n">
        <v>5.53063822</v>
      </c>
    </row>
    <row r="331" customFormat="false" ht="15" hidden="false" customHeight="false" outlineLevel="0" collapsed="false">
      <c r="A331" s="2" t="s">
        <v>410</v>
      </c>
      <c r="B331" s="2" t="s">
        <v>15</v>
      </c>
      <c r="C331" s="2" t="s">
        <v>22</v>
      </c>
      <c r="D331" s="2" t="s">
        <v>17</v>
      </c>
      <c r="E331" s="2" t="s">
        <v>99</v>
      </c>
      <c r="F331" s="2" t="s">
        <v>49</v>
      </c>
      <c r="G331" s="2" t="n">
        <v>2010</v>
      </c>
      <c r="H331" s="3" t="n">
        <v>9869.3</v>
      </c>
      <c r="I331" s="3" t="n">
        <v>6437</v>
      </c>
      <c r="J331" s="3" t="n">
        <v>3432.3</v>
      </c>
      <c r="K331" s="3" t="n">
        <v>4558.7</v>
      </c>
      <c r="L331" s="4" t="n">
        <v>46.19071261</v>
      </c>
      <c r="M331" s="3" t="n">
        <v>5310.6</v>
      </c>
      <c r="N331" s="4" t="n">
        <v>53.80928739</v>
      </c>
    </row>
    <row r="332" customFormat="false" ht="15" hidden="false" customHeight="false" outlineLevel="0" collapsed="false">
      <c r="A332" s="2" t="s">
        <v>411</v>
      </c>
      <c r="B332" s="2" t="s">
        <v>15</v>
      </c>
      <c r="C332" s="2" t="s">
        <v>22</v>
      </c>
      <c r="D332" s="2" t="s">
        <v>25</v>
      </c>
      <c r="E332" s="2" t="s">
        <v>83</v>
      </c>
      <c r="F332" s="2" t="s">
        <v>19</v>
      </c>
      <c r="G332" s="2" t="n">
        <v>1998</v>
      </c>
      <c r="H332" s="3" t="n">
        <v>9862.6</v>
      </c>
      <c r="I332" s="3" t="n">
        <v>4889.8</v>
      </c>
      <c r="J332" s="3" t="n">
        <v>4976.4</v>
      </c>
      <c r="K332" s="3" t="n">
        <v>1538.9</v>
      </c>
      <c r="L332" s="4" t="n">
        <v>15.60339059</v>
      </c>
      <c r="M332" s="3" t="n">
        <v>8323.7</v>
      </c>
      <c r="N332" s="4" t="n">
        <v>84.39660941</v>
      </c>
    </row>
    <row r="333" customFormat="false" ht="15" hidden="false" customHeight="false" outlineLevel="0" collapsed="false">
      <c r="A333" s="2" t="s">
        <v>412</v>
      </c>
      <c r="B333" s="2" t="s">
        <v>21</v>
      </c>
      <c r="C333" s="2" t="s">
        <v>34</v>
      </c>
      <c r="D333" s="2" t="s">
        <v>17</v>
      </c>
      <c r="E333" s="2" t="s">
        <v>23</v>
      </c>
      <c r="F333" s="2" t="s">
        <v>19</v>
      </c>
      <c r="G333" s="2" t="n">
        <v>2014</v>
      </c>
      <c r="H333" s="3" t="n">
        <v>9859.6</v>
      </c>
      <c r="I333" s="3" t="n">
        <v>4832.5</v>
      </c>
      <c r="J333" s="3" t="n">
        <v>5032.9</v>
      </c>
      <c r="K333" s="3" t="n">
        <v>2441.1</v>
      </c>
      <c r="L333" s="4" t="n">
        <v>24.7586109</v>
      </c>
      <c r="M333" s="3" t="n">
        <v>7418.5</v>
      </c>
      <c r="N333" s="4" t="n">
        <v>75.2413891</v>
      </c>
    </row>
    <row r="334" customFormat="false" ht="15" hidden="false" customHeight="false" outlineLevel="0" collapsed="false">
      <c r="A334" s="2" t="s">
        <v>413</v>
      </c>
      <c r="B334" s="2" t="s">
        <v>15</v>
      </c>
      <c r="C334" s="2" t="s">
        <v>90</v>
      </c>
      <c r="D334" s="2" t="s">
        <v>25</v>
      </c>
      <c r="E334" s="2" t="s">
        <v>83</v>
      </c>
      <c r="F334" s="2" t="s">
        <v>19</v>
      </c>
      <c r="G334" s="2" t="n">
        <v>2023</v>
      </c>
      <c r="H334" s="3" t="n">
        <v>9854</v>
      </c>
      <c r="I334" s="3" t="n">
        <v>8668.1</v>
      </c>
      <c r="J334" s="3" t="n">
        <v>1197.3</v>
      </c>
      <c r="K334" s="3" t="n">
        <v>2611.1</v>
      </c>
      <c r="L334" s="4" t="n">
        <v>26.49786889</v>
      </c>
      <c r="M334" s="3" t="n">
        <v>7242.9</v>
      </c>
      <c r="N334" s="4" t="n">
        <v>73.50213111</v>
      </c>
    </row>
    <row r="335" customFormat="false" ht="15" hidden="false" customHeight="false" outlineLevel="0" collapsed="false">
      <c r="A335" s="2" t="s">
        <v>414</v>
      </c>
      <c r="B335" s="2" t="s">
        <v>21</v>
      </c>
      <c r="C335" s="2" t="s">
        <v>22</v>
      </c>
      <c r="D335" s="2" t="s">
        <v>17</v>
      </c>
      <c r="E335" s="2" t="s">
        <v>23</v>
      </c>
      <c r="F335" s="2" t="s">
        <v>19</v>
      </c>
      <c r="G335" s="2" t="n">
        <v>2019</v>
      </c>
      <c r="H335" s="3" t="n">
        <v>9797.8</v>
      </c>
      <c r="I335" s="3" t="n">
        <v>9279.7</v>
      </c>
      <c r="J335" s="3" t="n">
        <v>543.3</v>
      </c>
      <c r="K335" s="3" t="n">
        <v>8953.2</v>
      </c>
      <c r="L335" s="4" t="n">
        <v>91.37969748</v>
      </c>
      <c r="M335" s="3" t="n">
        <v>844.6</v>
      </c>
      <c r="N335" s="4" t="n">
        <v>8.620302517</v>
      </c>
    </row>
    <row r="336" customFormat="false" ht="15" hidden="false" customHeight="false" outlineLevel="0" collapsed="false">
      <c r="A336" s="2" t="s">
        <v>415</v>
      </c>
      <c r="B336" s="2" t="s">
        <v>15</v>
      </c>
      <c r="C336" s="2" t="s">
        <v>22</v>
      </c>
      <c r="D336" s="2" t="s">
        <v>17</v>
      </c>
      <c r="E336" s="2" t="s">
        <v>18</v>
      </c>
      <c r="F336" s="2" t="s">
        <v>19</v>
      </c>
      <c r="G336" s="2" t="n">
        <v>1997</v>
      </c>
      <c r="H336" s="3" t="n">
        <v>9734</v>
      </c>
      <c r="I336" s="3" t="n">
        <v>4314.3</v>
      </c>
      <c r="J336" s="3" t="n">
        <v>5425.4</v>
      </c>
      <c r="K336" s="3" t="n">
        <v>31</v>
      </c>
      <c r="L336" s="4" t="n">
        <v>0.3184713376</v>
      </c>
      <c r="M336" s="3" t="n">
        <v>9703</v>
      </c>
      <c r="N336" s="4" t="n">
        <v>99.68152866</v>
      </c>
    </row>
    <row r="337" customFormat="false" ht="15" hidden="false" customHeight="false" outlineLevel="0" collapsed="false">
      <c r="A337" s="2" t="s">
        <v>416</v>
      </c>
      <c r="B337" s="2" t="s">
        <v>15</v>
      </c>
      <c r="C337" s="2" t="s">
        <v>22</v>
      </c>
      <c r="D337" s="2" t="s">
        <v>17</v>
      </c>
      <c r="E337" s="2" t="s">
        <v>28</v>
      </c>
      <c r="F337" s="2" t="s">
        <v>19</v>
      </c>
      <c r="G337" s="2" t="n">
        <v>2009</v>
      </c>
      <c r="H337" s="3" t="n">
        <v>9713</v>
      </c>
      <c r="I337" s="3" t="n">
        <v>5586.8</v>
      </c>
      <c r="J337" s="3" t="n">
        <v>4126.1</v>
      </c>
      <c r="K337" s="3" t="n">
        <v>2334.8</v>
      </c>
      <c r="L337" s="4" t="n">
        <v>24.03788737</v>
      </c>
      <c r="M337" s="3" t="n">
        <v>7378.2</v>
      </c>
      <c r="N337" s="4" t="n">
        <v>75.96211263</v>
      </c>
    </row>
    <row r="338" customFormat="false" ht="15" hidden="false" customHeight="false" outlineLevel="0" collapsed="false">
      <c r="A338" s="2" t="s">
        <v>417</v>
      </c>
      <c r="B338" s="2" t="s">
        <v>15</v>
      </c>
      <c r="C338" s="2" t="s">
        <v>22</v>
      </c>
      <c r="D338" s="2" t="s">
        <v>17</v>
      </c>
      <c r="E338" s="2" t="s">
        <v>273</v>
      </c>
      <c r="F338" s="2" t="s">
        <v>49</v>
      </c>
      <c r="G338" s="2" t="n">
        <v>2012</v>
      </c>
      <c r="H338" s="3" t="n">
        <v>9666.1</v>
      </c>
      <c r="I338" s="3" t="n">
        <v>9207.9</v>
      </c>
      <c r="J338" s="3" t="n">
        <v>460.8</v>
      </c>
      <c r="K338" s="3" t="n">
        <v>9168.3</v>
      </c>
      <c r="L338" s="4" t="n">
        <v>94.85004293</v>
      </c>
      <c r="M338" s="3" t="n">
        <v>497.8</v>
      </c>
      <c r="N338" s="4" t="n">
        <v>5.149957066</v>
      </c>
    </row>
    <row r="339" customFormat="false" ht="15" hidden="false" customHeight="false" outlineLevel="0" collapsed="false">
      <c r="A339" s="2" t="s">
        <v>418</v>
      </c>
      <c r="B339" s="2" t="s">
        <v>15</v>
      </c>
      <c r="C339" s="2" t="s">
        <v>90</v>
      </c>
      <c r="D339" s="2" t="s">
        <v>25</v>
      </c>
      <c r="E339" s="2" t="s">
        <v>83</v>
      </c>
      <c r="F339" s="2" t="s">
        <v>19</v>
      </c>
      <c r="G339" s="2" t="n">
        <v>2020</v>
      </c>
      <c r="H339" s="3" t="n">
        <v>9609</v>
      </c>
      <c r="I339" s="3" t="n">
        <v>5573.7</v>
      </c>
      <c r="J339" s="3" t="n">
        <v>4061</v>
      </c>
      <c r="K339" s="3" t="n">
        <v>436.8</v>
      </c>
      <c r="L339" s="4" t="n">
        <v>4.54573837</v>
      </c>
      <c r="M339" s="3" t="n">
        <v>9172.2</v>
      </c>
      <c r="N339" s="4" t="n">
        <v>95.45426163</v>
      </c>
    </row>
    <row r="340" customFormat="false" ht="15" hidden="false" customHeight="false" outlineLevel="0" collapsed="false">
      <c r="A340" s="2" t="s">
        <v>419</v>
      </c>
      <c r="B340" s="2" t="s">
        <v>15</v>
      </c>
      <c r="C340" s="2" t="s">
        <v>22</v>
      </c>
      <c r="D340" s="2" t="s">
        <v>17</v>
      </c>
      <c r="E340" s="2" t="s">
        <v>28</v>
      </c>
      <c r="F340" s="2" t="s">
        <v>19</v>
      </c>
      <c r="G340" s="2" t="n">
        <v>2014</v>
      </c>
      <c r="H340" s="3" t="n">
        <v>9513.7</v>
      </c>
      <c r="I340" s="3" t="n">
        <v>9454.3</v>
      </c>
      <c r="J340" s="3" t="n">
        <v>63.4</v>
      </c>
      <c r="K340" s="3" t="n">
        <v>1289.2</v>
      </c>
      <c r="L340" s="4" t="n">
        <v>13.55098437</v>
      </c>
      <c r="M340" s="3" t="n">
        <v>8224.5</v>
      </c>
      <c r="N340" s="4" t="n">
        <v>86.44901563</v>
      </c>
    </row>
    <row r="341" customFormat="false" ht="15" hidden="false" customHeight="false" outlineLevel="0" collapsed="false">
      <c r="A341" s="2" t="s">
        <v>420</v>
      </c>
      <c r="B341" s="2" t="s">
        <v>15</v>
      </c>
      <c r="C341" s="2" t="s">
        <v>95</v>
      </c>
      <c r="D341" s="2" t="s">
        <v>17</v>
      </c>
      <c r="E341" s="2" t="s">
        <v>28</v>
      </c>
      <c r="F341" s="2" t="s">
        <v>49</v>
      </c>
      <c r="G341" s="2" t="n">
        <v>2014</v>
      </c>
      <c r="H341" s="3" t="n">
        <v>9513</v>
      </c>
      <c r="I341" s="3" t="n">
        <v>9329.3</v>
      </c>
      <c r="J341" s="3" t="n">
        <v>185.8</v>
      </c>
      <c r="K341" s="3" t="n">
        <v>8793</v>
      </c>
      <c r="L341" s="4" t="n">
        <v>92.43140965</v>
      </c>
      <c r="M341" s="3" t="n">
        <v>720</v>
      </c>
      <c r="N341" s="4" t="n">
        <v>7.56859035</v>
      </c>
    </row>
    <row r="342" customFormat="false" ht="15" hidden="false" customHeight="false" outlineLevel="0" collapsed="false">
      <c r="A342" s="2" t="s">
        <v>421</v>
      </c>
      <c r="B342" s="2" t="s">
        <v>15</v>
      </c>
      <c r="C342" s="2" t="s">
        <v>90</v>
      </c>
      <c r="D342" s="2" t="s">
        <v>25</v>
      </c>
      <c r="E342" s="2" t="s">
        <v>91</v>
      </c>
      <c r="F342" s="2" t="s">
        <v>49</v>
      </c>
      <c r="G342" s="2" t="n">
        <v>2007</v>
      </c>
      <c r="H342" s="3" t="n">
        <v>9503.3</v>
      </c>
      <c r="I342" s="3" t="n">
        <v>2467.8</v>
      </c>
      <c r="J342" s="3" t="n">
        <v>7045.9</v>
      </c>
      <c r="K342" s="3" t="n">
        <v>9278.4</v>
      </c>
      <c r="L342" s="4" t="n">
        <v>97.63345364</v>
      </c>
      <c r="M342" s="3" t="n">
        <v>224.9</v>
      </c>
      <c r="N342" s="4" t="n">
        <v>2.366546358</v>
      </c>
    </row>
    <row r="343" customFormat="false" ht="15" hidden="false" customHeight="false" outlineLevel="0" collapsed="false">
      <c r="A343" s="2" t="s">
        <v>422</v>
      </c>
      <c r="B343" s="2" t="s">
        <v>15</v>
      </c>
      <c r="C343" s="2" t="s">
        <v>22</v>
      </c>
      <c r="D343" s="2" t="s">
        <v>25</v>
      </c>
      <c r="E343" s="2" t="s">
        <v>152</v>
      </c>
      <c r="F343" s="2" t="s">
        <v>19</v>
      </c>
      <c r="G343" s="2" t="n">
        <v>2010</v>
      </c>
      <c r="H343" s="3" t="n">
        <v>9495.2</v>
      </c>
      <c r="I343" s="3" t="n">
        <v>6483.6</v>
      </c>
      <c r="J343" s="3" t="n">
        <v>3011.7</v>
      </c>
      <c r="K343" s="3" t="n">
        <v>4320.4</v>
      </c>
      <c r="L343" s="4" t="n">
        <v>45.50088466</v>
      </c>
      <c r="M343" s="3" t="n">
        <v>5174.8</v>
      </c>
      <c r="N343" s="4" t="n">
        <v>54.49911534</v>
      </c>
    </row>
    <row r="344" customFormat="false" ht="15" hidden="false" customHeight="false" outlineLevel="0" collapsed="false">
      <c r="A344" s="2" t="s">
        <v>423</v>
      </c>
      <c r="B344" s="2" t="s">
        <v>15</v>
      </c>
      <c r="C344" s="2" t="s">
        <v>34</v>
      </c>
      <c r="D344" s="2" t="s">
        <v>17</v>
      </c>
      <c r="E344" s="2" t="s">
        <v>58</v>
      </c>
      <c r="F344" s="2" t="s">
        <v>49</v>
      </c>
      <c r="G344" s="2" t="n">
        <v>2010</v>
      </c>
      <c r="H344" s="3" t="n">
        <v>9439.9</v>
      </c>
      <c r="I344" s="3" t="n">
        <v>4498.2</v>
      </c>
      <c r="J344" s="3" t="n">
        <v>4948.6</v>
      </c>
      <c r="K344" s="3" t="n">
        <v>5621.4</v>
      </c>
      <c r="L344" s="4" t="n">
        <v>59.54935963</v>
      </c>
      <c r="M344" s="3" t="n">
        <v>3818.5</v>
      </c>
      <c r="N344" s="4" t="n">
        <v>40.45064037</v>
      </c>
    </row>
    <row r="345" customFormat="false" ht="15" hidden="false" customHeight="false" outlineLevel="0" collapsed="false">
      <c r="A345" s="2" t="s">
        <v>424</v>
      </c>
      <c r="B345" s="2" t="s">
        <v>15</v>
      </c>
      <c r="C345" s="2" t="s">
        <v>408</v>
      </c>
      <c r="D345" s="2" t="s">
        <v>409</v>
      </c>
      <c r="E345" s="2" t="s">
        <v>18</v>
      </c>
      <c r="F345" s="2" t="s">
        <v>19</v>
      </c>
      <c r="G345" s="2" t="n">
        <v>2011</v>
      </c>
      <c r="H345" s="3" t="n">
        <v>9437.3</v>
      </c>
      <c r="I345" s="3" t="n">
        <v>6110.3</v>
      </c>
      <c r="J345" s="3" t="n">
        <v>3331.7</v>
      </c>
      <c r="K345" s="3" t="n">
        <v>2399.2</v>
      </c>
      <c r="L345" s="4" t="n">
        <v>25.42252551</v>
      </c>
      <c r="M345" s="3" t="n">
        <v>7038.1</v>
      </c>
      <c r="N345" s="4" t="n">
        <v>74.57747449</v>
      </c>
    </row>
    <row r="346" customFormat="false" ht="15" hidden="false" customHeight="false" outlineLevel="0" collapsed="false">
      <c r="A346" s="2" t="s">
        <v>425</v>
      </c>
      <c r="B346" s="2" t="s">
        <v>21</v>
      </c>
      <c r="C346" s="2" t="s">
        <v>34</v>
      </c>
      <c r="D346" s="2" t="s">
        <v>17</v>
      </c>
      <c r="E346" s="2" t="s">
        <v>52</v>
      </c>
      <c r="F346" s="2" t="s">
        <v>49</v>
      </c>
      <c r="G346" s="2" t="n">
        <v>2009</v>
      </c>
      <c r="H346" s="3" t="n">
        <v>9401</v>
      </c>
      <c r="I346" s="3" t="n">
        <v>8691.5</v>
      </c>
      <c r="J346" s="3" t="n">
        <v>712.9</v>
      </c>
      <c r="K346" s="3" t="n">
        <v>8081.2</v>
      </c>
      <c r="L346" s="4" t="n">
        <v>85.96106797</v>
      </c>
      <c r="M346" s="3" t="n">
        <v>1319.8</v>
      </c>
      <c r="N346" s="4" t="n">
        <v>14.03893203</v>
      </c>
    </row>
    <row r="347" customFormat="false" ht="15" hidden="false" customHeight="false" outlineLevel="0" collapsed="false">
      <c r="A347" s="2" t="s">
        <v>426</v>
      </c>
      <c r="B347" s="2" t="s">
        <v>15</v>
      </c>
      <c r="C347" s="2" t="s">
        <v>22</v>
      </c>
      <c r="D347" s="2" t="s">
        <v>17</v>
      </c>
      <c r="E347" s="2" t="s">
        <v>18</v>
      </c>
      <c r="F347" s="2" t="s">
        <v>19</v>
      </c>
      <c r="G347" s="2" t="n">
        <v>2008</v>
      </c>
      <c r="H347" s="3" t="n">
        <v>9362.3</v>
      </c>
      <c r="I347" s="3" t="n">
        <v>4260.1</v>
      </c>
      <c r="J347" s="3" t="n">
        <v>5102.2</v>
      </c>
      <c r="K347" s="3" t="n">
        <v>1075.6</v>
      </c>
      <c r="L347" s="4" t="n">
        <v>11.48862993</v>
      </c>
      <c r="M347" s="3" t="n">
        <v>8286.7</v>
      </c>
      <c r="N347" s="4" t="n">
        <v>88.51137007</v>
      </c>
    </row>
    <row r="348" customFormat="false" ht="15" hidden="false" customHeight="false" outlineLevel="0" collapsed="false">
      <c r="A348" s="2" t="s">
        <v>427</v>
      </c>
      <c r="B348" s="2" t="s">
        <v>15</v>
      </c>
      <c r="C348" s="2" t="s">
        <v>243</v>
      </c>
      <c r="D348" s="2" t="s">
        <v>25</v>
      </c>
      <c r="E348" s="2" t="s">
        <v>83</v>
      </c>
      <c r="F348" s="2" t="s">
        <v>19</v>
      </c>
      <c r="G348" s="2" t="n">
        <v>1989</v>
      </c>
      <c r="H348" s="3" t="n">
        <v>9340.1</v>
      </c>
      <c r="I348" s="3" t="n">
        <v>6691.7</v>
      </c>
      <c r="J348" s="3" t="n">
        <v>2658.2</v>
      </c>
      <c r="K348" s="3" t="n">
        <v>5230.2</v>
      </c>
      <c r="L348" s="4" t="n">
        <v>55.99725913</v>
      </c>
      <c r="M348" s="3" t="n">
        <v>4109.9</v>
      </c>
      <c r="N348" s="4" t="n">
        <v>44.00274087</v>
      </c>
    </row>
    <row r="349" customFormat="false" ht="15" hidden="false" customHeight="false" outlineLevel="0" collapsed="false">
      <c r="A349" s="2" t="s">
        <v>428</v>
      </c>
      <c r="B349" s="2" t="s">
        <v>15</v>
      </c>
      <c r="C349" s="2" t="s">
        <v>22</v>
      </c>
      <c r="D349" s="2" t="s">
        <v>17</v>
      </c>
      <c r="E349" s="2" t="s">
        <v>18</v>
      </c>
      <c r="F349" s="2" t="s">
        <v>19</v>
      </c>
      <c r="G349" s="2" t="n">
        <v>2017</v>
      </c>
      <c r="H349" s="3" t="n">
        <v>9314.8</v>
      </c>
      <c r="I349" s="3" t="n">
        <v>5409.5</v>
      </c>
      <c r="J349" s="3" t="n">
        <v>3905.3</v>
      </c>
      <c r="K349" s="3" t="n">
        <v>1907.2</v>
      </c>
      <c r="L349" s="4" t="n">
        <v>20.4749431</v>
      </c>
      <c r="M349" s="3" t="n">
        <v>7407.6</v>
      </c>
      <c r="N349" s="4" t="n">
        <v>79.5250569</v>
      </c>
    </row>
    <row r="350" customFormat="false" ht="15" hidden="false" customHeight="false" outlineLevel="0" collapsed="false">
      <c r="A350" s="2" t="s">
        <v>429</v>
      </c>
      <c r="B350" s="2" t="s">
        <v>15</v>
      </c>
      <c r="C350" s="2" t="s">
        <v>22</v>
      </c>
      <c r="D350" s="2" t="s">
        <v>17</v>
      </c>
      <c r="E350" s="2" t="s">
        <v>28</v>
      </c>
      <c r="F350" s="2" t="s">
        <v>19</v>
      </c>
      <c r="G350" s="2" t="n">
        <v>2018</v>
      </c>
      <c r="H350" s="3" t="n">
        <v>9302.9</v>
      </c>
      <c r="I350" s="3" t="n">
        <v>5809.3</v>
      </c>
      <c r="J350" s="3" t="n">
        <v>3497.2</v>
      </c>
      <c r="K350" s="3" t="n">
        <v>5699</v>
      </c>
      <c r="L350" s="4" t="n">
        <v>61.26046717</v>
      </c>
      <c r="M350" s="3" t="n">
        <v>3603.9</v>
      </c>
      <c r="N350" s="4" t="n">
        <v>38.73953283</v>
      </c>
    </row>
    <row r="351" customFormat="false" ht="15" hidden="false" customHeight="false" outlineLevel="0" collapsed="false">
      <c r="A351" s="2" t="s">
        <v>430</v>
      </c>
      <c r="B351" s="2" t="s">
        <v>15</v>
      </c>
      <c r="C351" s="2" t="s">
        <v>22</v>
      </c>
      <c r="D351" s="2" t="s">
        <v>17</v>
      </c>
      <c r="E351" s="2" t="s">
        <v>52</v>
      </c>
      <c r="F351" s="2" t="s">
        <v>19</v>
      </c>
      <c r="G351" s="2" t="n">
        <v>1971</v>
      </c>
      <c r="H351" s="3" t="n">
        <v>9290.9</v>
      </c>
      <c r="I351" s="3" t="n">
        <v>9255.2</v>
      </c>
      <c r="J351" s="3" t="n">
        <v>40.4</v>
      </c>
      <c r="K351" s="3" t="n">
        <v>9207.2</v>
      </c>
      <c r="L351" s="4" t="n">
        <v>99.09911849</v>
      </c>
      <c r="M351" s="3" t="n">
        <v>83.7</v>
      </c>
      <c r="N351" s="4" t="n">
        <v>0.9008815077</v>
      </c>
    </row>
    <row r="352" customFormat="false" ht="15" hidden="false" customHeight="false" outlineLevel="0" collapsed="false">
      <c r="A352" s="2" t="s">
        <v>431</v>
      </c>
      <c r="B352" s="2" t="s">
        <v>15</v>
      </c>
      <c r="C352" s="2" t="s">
        <v>22</v>
      </c>
      <c r="D352" s="2" t="s">
        <v>17</v>
      </c>
      <c r="E352" s="2" t="s">
        <v>99</v>
      </c>
      <c r="F352" s="2" t="s">
        <v>19</v>
      </c>
      <c r="G352" s="2" t="n">
        <v>2007</v>
      </c>
      <c r="H352" s="3" t="n">
        <v>9213.5</v>
      </c>
      <c r="I352" s="3" t="n">
        <v>9212.7</v>
      </c>
      <c r="J352" s="3" t="n">
        <v>8.3</v>
      </c>
      <c r="K352" s="3" t="n">
        <v>7646.2</v>
      </c>
      <c r="L352" s="4" t="n">
        <v>82.98909209</v>
      </c>
      <c r="M352" s="3" t="n">
        <v>1567.3</v>
      </c>
      <c r="N352" s="4" t="n">
        <v>17.01090791</v>
      </c>
    </row>
    <row r="353" customFormat="false" ht="15" hidden="false" customHeight="false" outlineLevel="0" collapsed="false">
      <c r="A353" s="2" t="s">
        <v>432</v>
      </c>
      <c r="B353" s="2" t="s">
        <v>15</v>
      </c>
      <c r="C353" s="2" t="s">
        <v>34</v>
      </c>
      <c r="D353" s="2" t="s">
        <v>17</v>
      </c>
      <c r="E353" s="2" t="s">
        <v>52</v>
      </c>
      <c r="F353" s="2" t="s">
        <v>49</v>
      </c>
      <c r="G353" s="2" t="n">
        <v>1999</v>
      </c>
      <c r="H353" s="3" t="n">
        <v>9212.4</v>
      </c>
      <c r="I353" s="3" t="n">
        <v>7752.7</v>
      </c>
      <c r="J353" s="3" t="n">
        <v>1460.8</v>
      </c>
      <c r="K353" s="3" t="n">
        <v>9165</v>
      </c>
      <c r="L353" s="4" t="n">
        <v>99.4854761</v>
      </c>
      <c r="M353" s="3" t="n">
        <v>47.4</v>
      </c>
      <c r="N353" s="4" t="n">
        <v>0.5145239026</v>
      </c>
    </row>
    <row r="354" customFormat="false" ht="15" hidden="false" customHeight="false" outlineLevel="0" collapsed="false">
      <c r="A354" s="2" t="s">
        <v>433</v>
      </c>
      <c r="B354" s="2" t="s">
        <v>15</v>
      </c>
      <c r="C354" s="2" t="s">
        <v>34</v>
      </c>
      <c r="D354" s="2" t="s">
        <v>17</v>
      </c>
      <c r="E354" s="2" t="s">
        <v>61</v>
      </c>
      <c r="F354" s="2" t="s">
        <v>19</v>
      </c>
      <c r="G354" s="2" t="n">
        <v>2015</v>
      </c>
      <c r="H354" s="3" t="n">
        <v>9206.7</v>
      </c>
      <c r="I354" s="3" t="n">
        <v>7645.1</v>
      </c>
      <c r="J354" s="3" t="n">
        <v>1564.1</v>
      </c>
      <c r="K354" s="3" t="n">
        <v>36.4</v>
      </c>
      <c r="L354" s="4" t="n">
        <v>0.3953642456</v>
      </c>
      <c r="M354" s="3" t="n">
        <v>9170.3</v>
      </c>
      <c r="N354" s="4" t="n">
        <v>99.60463575</v>
      </c>
    </row>
    <row r="355" customFormat="false" ht="15" hidden="false" customHeight="false" outlineLevel="0" collapsed="false">
      <c r="A355" s="2" t="s">
        <v>434</v>
      </c>
      <c r="B355" s="2" t="s">
        <v>15</v>
      </c>
      <c r="C355" s="2" t="s">
        <v>22</v>
      </c>
      <c r="D355" s="2" t="s">
        <v>17</v>
      </c>
      <c r="E355" s="2" t="s">
        <v>23</v>
      </c>
      <c r="F355" s="2" t="s">
        <v>19</v>
      </c>
      <c r="G355" s="2" t="n">
        <v>2019</v>
      </c>
      <c r="H355" s="3" t="n">
        <v>9177.5</v>
      </c>
      <c r="I355" s="3" t="n">
        <v>7949</v>
      </c>
      <c r="J355" s="3" t="n">
        <v>1236.7</v>
      </c>
      <c r="K355" s="3" t="n">
        <v>7238.3</v>
      </c>
      <c r="L355" s="4" t="n">
        <v>78.87006265</v>
      </c>
      <c r="M355" s="3" t="n">
        <v>1939.2</v>
      </c>
      <c r="N355" s="4" t="n">
        <v>21.12993735</v>
      </c>
    </row>
    <row r="356" customFormat="false" ht="15" hidden="false" customHeight="false" outlineLevel="0" collapsed="false">
      <c r="A356" s="2" t="s">
        <v>435</v>
      </c>
      <c r="B356" s="2" t="s">
        <v>15</v>
      </c>
      <c r="C356" s="2" t="s">
        <v>43</v>
      </c>
      <c r="D356" s="2" t="s">
        <v>25</v>
      </c>
      <c r="E356" s="2" t="s">
        <v>83</v>
      </c>
      <c r="F356" s="2" t="s">
        <v>19</v>
      </c>
      <c r="G356" s="2" t="n">
        <v>1988</v>
      </c>
      <c r="H356" s="3" t="n">
        <v>9121.6</v>
      </c>
      <c r="I356" s="3" t="n">
        <v>4954.8</v>
      </c>
      <c r="J356" s="3" t="n">
        <v>4166.8</v>
      </c>
      <c r="K356" s="3" t="n">
        <v>4039.5</v>
      </c>
      <c r="L356" s="4" t="n">
        <v>44.28499386</v>
      </c>
      <c r="M356" s="3" t="n">
        <v>5082.1</v>
      </c>
      <c r="N356" s="4" t="n">
        <v>55.71500614</v>
      </c>
    </row>
    <row r="357" customFormat="false" ht="15" hidden="false" customHeight="false" outlineLevel="0" collapsed="false">
      <c r="A357" s="2" t="s">
        <v>436</v>
      </c>
      <c r="B357" s="2" t="s">
        <v>21</v>
      </c>
      <c r="C357" s="2" t="s">
        <v>22</v>
      </c>
      <c r="D357" s="2" t="s">
        <v>17</v>
      </c>
      <c r="E357" s="2" t="s">
        <v>23</v>
      </c>
      <c r="F357" s="2" t="s">
        <v>19</v>
      </c>
      <c r="G357" s="2" t="n">
        <v>1999</v>
      </c>
      <c r="H357" s="3" t="n">
        <v>9115.7</v>
      </c>
      <c r="I357" s="3" t="n">
        <v>7543</v>
      </c>
      <c r="J357" s="3" t="n">
        <v>1578.6</v>
      </c>
      <c r="K357" s="3" t="n">
        <v>2706.2</v>
      </c>
      <c r="L357" s="4" t="n">
        <v>29.68724289</v>
      </c>
      <c r="M357" s="3" t="n">
        <v>6409.5</v>
      </c>
      <c r="N357" s="4" t="n">
        <v>70.31275711</v>
      </c>
    </row>
    <row r="358" customFormat="false" ht="15" hidden="false" customHeight="false" outlineLevel="0" collapsed="false">
      <c r="A358" s="2" t="s">
        <v>437</v>
      </c>
      <c r="B358" s="2" t="s">
        <v>15</v>
      </c>
      <c r="C358" s="2" t="s">
        <v>90</v>
      </c>
      <c r="D358" s="2" t="s">
        <v>25</v>
      </c>
      <c r="E358" s="2" t="s">
        <v>18</v>
      </c>
      <c r="F358" s="2" t="s">
        <v>49</v>
      </c>
      <c r="G358" s="2" t="n">
        <v>2002</v>
      </c>
      <c r="H358" s="3" t="n">
        <v>9107.5</v>
      </c>
      <c r="I358" s="3" t="n">
        <v>8630.9</v>
      </c>
      <c r="J358" s="3" t="n">
        <v>487.3</v>
      </c>
      <c r="K358" s="3" t="n">
        <v>5817.4</v>
      </c>
      <c r="L358" s="4" t="n">
        <v>63.87482844</v>
      </c>
      <c r="M358" s="3" t="n">
        <v>3290.1</v>
      </c>
      <c r="N358" s="4" t="n">
        <v>36.12517156</v>
      </c>
    </row>
    <row r="359" customFormat="false" ht="15" hidden="false" customHeight="false" outlineLevel="0" collapsed="false">
      <c r="A359" s="2" t="s">
        <v>438</v>
      </c>
      <c r="B359" s="2" t="s">
        <v>15</v>
      </c>
      <c r="C359" s="2" t="s">
        <v>22</v>
      </c>
      <c r="D359" s="2" t="s">
        <v>17</v>
      </c>
      <c r="E359" s="2" t="s">
        <v>18</v>
      </c>
      <c r="F359" s="2" t="s">
        <v>19</v>
      </c>
      <c r="G359" s="2" t="n">
        <v>2001</v>
      </c>
      <c r="H359" s="3" t="n">
        <v>9084.9</v>
      </c>
      <c r="I359" s="3" t="n">
        <v>4560.6</v>
      </c>
      <c r="J359" s="3" t="n">
        <v>4524.3</v>
      </c>
      <c r="K359" s="3" t="n">
        <v>1805.2</v>
      </c>
      <c r="L359" s="4" t="n">
        <v>19.87033429</v>
      </c>
      <c r="M359" s="3" t="n">
        <v>7279.7</v>
      </c>
      <c r="N359" s="4" t="n">
        <v>80.12966571</v>
      </c>
    </row>
    <row r="360" customFormat="false" ht="15" hidden="false" customHeight="false" outlineLevel="0" collapsed="false">
      <c r="A360" s="2" t="s">
        <v>439</v>
      </c>
      <c r="B360" s="2" t="s">
        <v>15</v>
      </c>
      <c r="C360" s="2" t="s">
        <v>90</v>
      </c>
      <c r="D360" s="2" t="s">
        <v>25</v>
      </c>
      <c r="E360" s="2" t="s">
        <v>91</v>
      </c>
      <c r="F360" s="2" t="s">
        <v>19</v>
      </c>
      <c r="G360" s="2" t="n">
        <v>2015</v>
      </c>
      <c r="H360" s="3" t="n">
        <v>9076.4</v>
      </c>
      <c r="I360" s="3" t="n">
        <v>3472</v>
      </c>
      <c r="J360" s="3" t="n">
        <v>5604.3</v>
      </c>
      <c r="K360" s="3" t="n">
        <v>752.1</v>
      </c>
      <c r="L360" s="4" t="n">
        <v>8.286324975</v>
      </c>
      <c r="M360" s="3" t="n">
        <v>8324.3</v>
      </c>
      <c r="N360" s="4" t="n">
        <v>91.71367503</v>
      </c>
    </row>
    <row r="361" customFormat="false" ht="15" hidden="false" customHeight="false" outlineLevel="0" collapsed="false">
      <c r="A361" s="2" t="s">
        <v>440</v>
      </c>
      <c r="B361" s="2" t="s">
        <v>15</v>
      </c>
      <c r="C361" s="2" t="s">
        <v>441</v>
      </c>
      <c r="D361" s="2" t="s">
        <v>25</v>
      </c>
      <c r="E361" s="2" t="s">
        <v>83</v>
      </c>
      <c r="F361" s="2" t="s">
        <v>19</v>
      </c>
      <c r="G361" s="2" t="n">
        <v>2008</v>
      </c>
      <c r="H361" s="3" t="n">
        <v>9056.5</v>
      </c>
      <c r="I361" s="3" t="n">
        <v>5112.2</v>
      </c>
      <c r="J361" s="3" t="n">
        <v>3944.3</v>
      </c>
      <c r="K361" s="3" t="n">
        <v>561.5</v>
      </c>
      <c r="L361" s="4" t="n">
        <v>6.199966875</v>
      </c>
      <c r="M361" s="3" t="n">
        <v>8495</v>
      </c>
      <c r="N361" s="4" t="n">
        <v>93.80003313</v>
      </c>
    </row>
    <row r="362" customFormat="false" ht="15" hidden="false" customHeight="false" outlineLevel="0" collapsed="false">
      <c r="A362" s="2" t="s">
        <v>442</v>
      </c>
      <c r="B362" s="2" t="s">
        <v>21</v>
      </c>
      <c r="C362" s="2" t="s">
        <v>72</v>
      </c>
      <c r="D362" s="2" t="s">
        <v>73</v>
      </c>
      <c r="E362" s="2" t="s">
        <v>74</v>
      </c>
      <c r="F362" s="2" t="s">
        <v>19</v>
      </c>
      <c r="G362" s="2" t="n">
        <v>1980</v>
      </c>
      <c r="H362" s="3" t="n">
        <v>8988.2</v>
      </c>
      <c r="I362" s="3" t="n">
        <v>2897.2</v>
      </c>
      <c r="J362" s="3" t="n">
        <v>6102.8</v>
      </c>
      <c r="K362" s="3" t="n">
        <v>551.1</v>
      </c>
      <c r="L362" s="4" t="n">
        <v>6.131372244</v>
      </c>
      <c r="M362" s="3" t="n">
        <v>8437.1</v>
      </c>
      <c r="N362" s="4" t="n">
        <v>93.86862776</v>
      </c>
    </row>
    <row r="363" customFormat="false" ht="15" hidden="false" customHeight="false" outlineLevel="0" collapsed="false">
      <c r="A363" s="2" t="s">
        <v>443</v>
      </c>
      <c r="B363" s="2" t="s">
        <v>15</v>
      </c>
      <c r="C363" s="2" t="s">
        <v>43</v>
      </c>
      <c r="D363" s="2" t="s">
        <v>25</v>
      </c>
      <c r="E363" s="2" t="s">
        <v>26</v>
      </c>
      <c r="F363" s="2" t="s">
        <v>19</v>
      </c>
      <c r="G363" s="2" t="n">
        <v>2018</v>
      </c>
      <c r="H363" s="3" t="n">
        <v>8965</v>
      </c>
      <c r="I363" s="3" t="n">
        <v>6387.9</v>
      </c>
      <c r="J363" s="3" t="n">
        <v>2587.4</v>
      </c>
      <c r="K363" s="3" t="n">
        <v>1238.1</v>
      </c>
      <c r="L363" s="4" t="n">
        <v>13.81037368</v>
      </c>
      <c r="M363" s="3" t="n">
        <v>7726.9</v>
      </c>
      <c r="N363" s="4" t="n">
        <v>86.18962632</v>
      </c>
    </row>
    <row r="364" customFormat="false" ht="15" hidden="false" customHeight="false" outlineLevel="0" collapsed="false">
      <c r="A364" s="2" t="s">
        <v>444</v>
      </c>
      <c r="B364" s="2" t="s">
        <v>21</v>
      </c>
      <c r="C364" s="2" t="s">
        <v>441</v>
      </c>
      <c r="D364" s="2" t="s">
        <v>25</v>
      </c>
      <c r="E364" s="2" t="s">
        <v>26</v>
      </c>
      <c r="F364" s="2" t="s">
        <v>19</v>
      </c>
      <c r="G364" s="2" t="n">
        <v>2010</v>
      </c>
      <c r="H364" s="3" t="n">
        <v>8960.1</v>
      </c>
      <c r="I364" s="3" t="n">
        <v>3564</v>
      </c>
      <c r="J364" s="3" t="n">
        <v>5398.2</v>
      </c>
      <c r="K364" s="3" t="n">
        <v>687.9</v>
      </c>
      <c r="L364" s="4" t="n">
        <v>7.677369672</v>
      </c>
      <c r="M364" s="3" t="n">
        <v>8272.2</v>
      </c>
      <c r="N364" s="4" t="n">
        <v>92.32263033</v>
      </c>
    </row>
    <row r="365" customFormat="false" ht="15" hidden="false" customHeight="false" outlineLevel="0" collapsed="false">
      <c r="A365" s="2" t="s">
        <v>445</v>
      </c>
      <c r="B365" s="2" t="s">
        <v>15</v>
      </c>
      <c r="C365" s="2" t="s">
        <v>22</v>
      </c>
      <c r="D365" s="2" t="s">
        <v>17</v>
      </c>
      <c r="E365" s="2" t="s">
        <v>52</v>
      </c>
      <c r="F365" s="2" t="s">
        <v>19</v>
      </c>
      <c r="G365" s="2" t="n">
        <v>1973</v>
      </c>
      <c r="H365" s="3" t="n">
        <v>8927.6</v>
      </c>
      <c r="I365" s="3" t="n">
        <v>8741.2</v>
      </c>
      <c r="J365" s="3" t="n">
        <v>189.7</v>
      </c>
      <c r="K365" s="3" t="n">
        <v>8713.3</v>
      </c>
      <c r="L365" s="4" t="n">
        <v>97.59957883</v>
      </c>
      <c r="M365" s="3" t="n">
        <v>214.3</v>
      </c>
      <c r="N365" s="4" t="n">
        <v>2.400421166</v>
      </c>
    </row>
    <row r="366" customFormat="false" ht="15" hidden="false" customHeight="false" outlineLevel="0" collapsed="false">
      <c r="A366" s="2" t="s">
        <v>446</v>
      </c>
      <c r="B366" s="2" t="s">
        <v>15</v>
      </c>
      <c r="C366" s="2" t="s">
        <v>90</v>
      </c>
      <c r="D366" s="2" t="s">
        <v>25</v>
      </c>
      <c r="E366" s="2" t="s">
        <v>91</v>
      </c>
      <c r="F366" s="2" t="s">
        <v>19</v>
      </c>
      <c r="G366" s="2" t="n">
        <v>2011</v>
      </c>
      <c r="H366" s="3" t="n">
        <v>8916</v>
      </c>
      <c r="I366" s="3" t="n">
        <v>8080</v>
      </c>
      <c r="J366" s="3" t="n">
        <v>844.9</v>
      </c>
      <c r="K366" s="3" t="n">
        <v>7975.8</v>
      </c>
      <c r="L366" s="4" t="n">
        <v>89.45491252</v>
      </c>
      <c r="M366" s="3" t="n">
        <v>940.2</v>
      </c>
      <c r="N366" s="4" t="n">
        <v>10.54508748</v>
      </c>
    </row>
    <row r="367" customFormat="false" ht="15" hidden="false" customHeight="false" outlineLevel="0" collapsed="false">
      <c r="A367" s="2" t="s">
        <v>447</v>
      </c>
      <c r="B367" s="2" t="s">
        <v>15</v>
      </c>
      <c r="C367" s="2" t="s">
        <v>22</v>
      </c>
      <c r="D367" s="2" t="s">
        <v>17</v>
      </c>
      <c r="E367" s="2" t="s">
        <v>23</v>
      </c>
      <c r="F367" s="2" t="s">
        <v>49</v>
      </c>
      <c r="G367" s="2" t="n">
        <v>2006</v>
      </c>
      <c r="H367" s="3" t="n">
        <v>8909.9</v>
      </c>
      <c r="I367" s="3" t="n">
        <v>6844.4</v>
      </c>
      <c r="J367" s="3" t="n">
        <v>2067.7</v>
      </c>
      <c r="K367" s="3" t="n">
        <v>6517.9</v>
      </c>
      <c r="L367" s="4" t="n">
        <v>73.15345851</v>
      </c>
      <c r="M367" s="3" t="n">
        <v>2392</v>
      </c>
      <c r="N367" s="4" t="n">
        <v>26.84654149</v>
      </c>
    </row>
    <row r="368" customFormat="false" ht="15" hidden="false" customHeight="false" outlineLevel="0" collapsed="false">
      <c r="A368" s="2" t="s">
        <v>448</v>
      </c>
      <c r="B368" s="2" t="s">
        <v>15</v>
      </c>
      <c r="C368" s="2" t="s">
        <v>129</v>
      </c>
      <c r="D368" s="2" t="s">
        <v>130</v>
      </c>
      <c r="E368" s="2" t="s">
        <v>140</v>
      </c>
      <c r="F368" s="2" t="s">
        <v>19</v>
      </c>
      <c r="G368" s="2" t="n">
        <v>1977</v>
      </c>
      <c r="H368" s="3" t="n">
        <v>8906.9</v>
      </c>
      <c r="I368" s="3" t="n">
        <v>8155.5</v>
      </c>
      <c r="J368" s="3" t="n">
        <v>751.4</v>
      </c>
      <c r="K368" s="3" t="n">
        <v>5041.5</v>
      </c>
      <c r="L368" s="4" t="n">
        <v>56.60218482</v>
      </c>
      <c r="M368" s="3" t="n">
        <v>3865.4</v>
      </c>
      <c r="N368" s="4" t="n">
        <v>43.39781518</v>
      </c>
    </row>
    <row r="369" customFormat="false" ht="15" hidden="false" customHeight="false" outlineLevel="0" collapsed="false">
      <c r="A369" s="2" t="s">
        <v>449</v>
      </c>
      <c r="B369" s="2" t="s">
        <v>21</v>
      </c>
      <c r="C369" s="2" t="s">
        <v>22</v>
      </c>
      <c r="D369" s="2" t="s">
        <v>17</v>
      </c>
      <c r="E369" s="2" t="s">
        <v>23</v>
      </c>
      <c r="F369" s="2" t="s">
        <v>19</v>
      </c>
      <c r="G369" s="2" t="n">
        <v>2010</v>
      </c>
      <c r="H369" s="3" t="n">
        <v>8899.6</v>
      </c>
      <c r="I369" s="3" t="n">
        <v>4219.1</v>
      </c>
      <c r="J369" s="3" t="n">
        <v>4681.7</v>
      </c>
      <c r="K369" s="3" t="n">
        <v>2876.3</v>
      </c>
      <c r="L369" s="4" t="n">
        <v>32.31943009</v>
      </c>
      <c r="M369" s="3" t="n">
        <v>6023.3</v>
      </c>
      <c r="N369" s="4" t="n">
        <v>67.68056991</v>
      </c>
    </row>
    <row r="370" customFormat="false" ht="15" hidden="false" customHeight="false" outlineLevel="0" collapsed="false">
      <c r="A370" s="2" t="s">
        <v>450</v>
      </c>
      <c r="B370" s="2" t="s">
        <v>15</v>
      </c>
      <c r="C370" s="2" t="s">
        <v>22</v>
      </c>
      <c r="D370" s="2" t="s">
        <v>17</v>
      </c>
      <c r="E370" s="2" t="s">
        <v>292</v>
      </c>
      <c r="F370" s="2" t="s">
        <v>49</v>
      </c>
      <c r="G370" s="2" t="n">
        <v>1995</v>
      </c>
      <c r="H370" s="3" t="n">
        <v>8848.3</v>
      </c>
      <c r="I370" s="3" t="n">
        <v>8855.1</v>
      </c>
      <c r="J370" s="3" t="n">
        <v>0</v>
      </c>
      <c r="K370" s="3" t="n">
        <v>8823.4</v>
      </c>
      <c r="L370" s="4" t="n">
        <v>99.71859001</v>
      </c>
      <c r="M370" s="3" t="n">
        <v>24.9</v>
      </c>
      <c r="N370" s="4" t="n">
        <v>0.2814099884</v>
      </c>
    </row>
    <row r="371" customFormat="false" ht="15" hidden="false" customHeight="false" outlineLevel="0" collapsed="false">
      <c r="A371" s="2" t="s">
        <v>451</v>
      </c>
      <c r="B371" s="2" t="s">
        <v>21</v>
      </c>
      <c r="C371" s="2" t="s">
        <v>22</v>
      </c>
      <c r="D371" s="2" t="s">
        <v>17</v>
      </c>
      <c r="E371" s="2" t="s">
        <v>23</v>
      </c>
      <c r="F371" s="2" t="s">
        <v>19</v>
      </c>
      <c r="G371" s="2" t="n">
        <v>2012</v>
      </c>
      <c r="H371" s="3" t="n">
        <v>8831</v>
      </c>
      <c r="I371" s="3" t="n">
        <v>6995.1</v>
      </c>
      <c r="J371" s="3" t="n">
        <v>1840.3</v>
      </c>
      <c r="K371" s="3" t="n">
        <v>6603.2</v>
      </c>
      <c r="L371" s="4" t="n">
        <v>74.77295889</v>
      </c>
      <c r="M371" s="3" t="n">
        <v>2227.8</v>
      </c>
      <c r="N371" s="4" t="n">
        <v>25.22704111</v>
      </c>
    </row>
    <row r="372" customFormat="false" ht="15" hidden="false" customHeight="false" outlineLevel="0" collapsed="false">
      <c r="A372" s="2" t="s">
        <v>452</v>
      </c>
      <c r="B372" s="2" t="s">
        <v>21</v>
      </c>
      <c r="C372" s="2" t="s">
        <v>22</v>
      </c>
      <c r="D372" s="2" t="s">
        <v>17</v>
      </c>
      <c r="E372" s="2" t="s">
        <v>28</v>
      </c>
      <c r="F372" s="2" t="s">
        <v>19</v>
      </c>
      <c r="G372" s="2" t="n">
        <v>1985</v>
      </c>
      <c r="H372" s="3" t="n">
        <v>8828.8</v>
      </c>
      <c r="I372" s="3" t="n">
        <v>7564.4</v>
      </c>
      <c r="J372" s="3" t="n">
        <v>1267.8</v>
      </c>
      <c r="K372" s="3" t="n">
        <v>6762.6</v>
      </c>
      <c r="L372" s="4" t="n">
        <v>76.59704603</v>
      </c>
      <c r="M372" s="3" t="n">
        <v>2066.2</v>
      </c>
      <c r="N372" s="4" t="n">
        <v>23.40295397</v>
      </c>
    </row>
    <row r="373" customFormat="false" ht="15" hidden="false" customHeight="false" outlineLevel="0" collapsed="false">
      <c r="A373" s="2" t="s">
        <v>453</v>
      </c>
      <c r="B373" s="2" t="s">
        <v>21</v>
      </c>
      <c r="C373" s="2" t="s">
        <v>148</v>
      </c>
      <c r="D373" s="2" t="s">
        <v>17</v>
      </c>
      <c r="E373" s="2" t="s">
        <v>23</v>
      </c>
      <c r="F373" s="2" t="s">
        <v>19</v>
      </c>
      <c r="G373" s="2" t="n">
        <v>2006</v>
      </c>
      <c r="H373" s="3" t="n">
        <v>8809.4</v>
      </c>
      <c r="I373" s="3" t="n">
        <v>5689.4</v>
      </c>
      <c r="J373" s="3" t="n">
        <v>3122.8</v>
      </c>
      <c r="K373" s="3" t="n">
        <v>4223.1</v>
      </c>
      <c r="L373" s="4" t="n">
        <v>47.93856562</v>
      </c>
      <c r="M373" s="3" t="n">
        <v>4586.3</v>
      </c>
      <c r="N373" s="4" t="n">
        <v>52.06143438</v>
      </c>
    </row>
    <row r="374" customFormat="false" ht="15" hidden="false" customHeight="false" outlineLevel="0" collapsed="false">
      <c r="A374" s="2" t="s">
        <v>454</v>
      </c>
      <c r="B374" s="2" t="s">
        <v>15</v>
      </c>
      <c r="C374" s="2" t="s">
        <v>22</v>
      </c>
      <c r="D374" s="2" t="s">
        <v>25</v>
      </c>
      <c r="E374" s="2" t="s">
        <v>26</v>
      </c>
      <c r="F374" s="2" t="s">
        <v>19</v>
      </c>
      <c r="G374" s="2" t="n">
        <v>2010</v>
      </c>
      <c r="H374" s="3" t="n">
        <v>8801.6</v>
      </c>
      <c r="I374" s="3" t="n">
        <v>1220.6</v>
      </c>
      <c r="J374" s="3" t="n">
        <v>7581</v>
      </c>
      <c r="K374" s="3" t="n">
        <v>0</v>
      </c>
      <c r="L374" s="4" t="n">
        <v>0</v>
      </c>
      <c r="M374" s="3" t="n">
        <v>8801.6</v>
      </c>
      <c r="N374" s="4" t="n">
        <v>100</v>
      </c>
    </row>
    <row r="375" customFormat="false" ht="15" hidden="false" customHeight="false" outlineLevel="0" collapsed="false">
      <c r="A375" s="2" t="s">
        <v>455</v>
      </c>
      <c r="B375" s="2" t="s">
        <v>21</v>
      </c>
      <c r="C375" s="2" t="s">
        <v>34</v>
      </c>
      <c r="D375" s="2" t="s">
        <v>17</v>
      </c>
      <c r="E375" s="2" t="s">
        <v>456</v>
      </c>
      <c r="F375" s="2" t="s">
        <v>19</v>
      </c>
      <c r="G375" s="2" t="n">
        <v>2003</v>
      </c>
      <c r="H375" s="3" t="n">
        <v>8780.4</v>
      </c>
      <c r="I375" s="3" t="n">
        <v>8238.2</v>
      </c>
      <c r="J375" s="3" t="n">
        <v>547.7</v>
      </c>
      <c r="K375" s="3" t="n">
        <v>7557.9</v>
      </c>
      <c r="L375" s="4" t="n">
        <v>86.0769441</v>
      </c>
      <c r="M375" s="3" t="n">
        <v>1222.5</v>
      </c>
      <c r="N375" s="4" t="n">
        <v>13.9230559</v>
      </c>
    </row>
    <row r="376" customFormat="false" ht="15" hidden="false" customHeight="false" outlineLevel="0" collapsed="false">
      <c r="A376" s="2" t="s">
        <v>457</v>
      </c>
      <c r="B376" s="2" t="s">
        <v>15</v>
      </c>
      <c r="C376" s="2" t="s">
        <v>22</v>
      </c>
      <c r="D376" s="2" t="s">
        <v>17</v>
      </c>
      <c r="E376" s="2" t="s">
        <v>23</v>
      </c>
      <c r="F376" s="2" t="s">
        <v>49</v>
      </c>
      <c r="G376" s="2" t="n">
        <v>2010</v>
      </c>
      <c r="H376" s="3" t="n">
        <v>8779.9</v>
      </c>
      <c r="I376" s="3" t="n">
        <v>7850.9</v>
      </c>
      <c r="J376" s="3" t="n">
        <v>932.8</v>
      </c>
      <c r="K376" s="3" t="n">
        <v>8155.1</v>
      </c>
      <c r="L376" s="4" t="n">
        <v>92.88374583</v>
      </c>
      <c r="M376" s="3" t="n">
        <v>624.8</v>
      </c>
      <c r="N376" s="4" t="n">
        <v>7.116254171</v>
      </c>
    </row>
    <row r="377" customFormat="false" ht="15" hidden="false" customHeight="false" outlineLevel="0" collapsed="false">
      <c r="A377" s="2" t="s">
        <v>458</v>
      </c>
      <c r="B377" s="2" t="s">
        <v>15</v>
      </c>
      <c r="C377" s="2" t="s">
        <v>72</v>
      </c>
      <c r="D377" s="2" t="s">
        <v>73</v>
      </c>
      <c r="E377" s="2" t="s">
        <v>74</v>
      </c>
      <c r="F377" s="2" t="s">
        <v>19</v>
      </c>
      <c r="G377" s="2" t="n">
        <v>2015</v>
      </c>
      <c r="H377" s="3" t="n">
        <v>8733</v>
      </c>
      <c r="I377" s="3" t="n">
        <v>2987.7</v>
      </c>
      <c r="J377" s="3" t="n">
        <v>5745.3</v>
      </c>
      <c r="K377" s="3" t="n">
        <v>6.8</v>
      </c>
      <c r="L377" s="4" t="n">
        <v>0.07786556739</v>
      </c>
      <c r="M377" s="3" t="n">
        <v>8726.2</v>
      </c>
      <c r="N377" s="4" t="n">
        <v>99.92213443</v>
      </c>
    </row>
    <row r="378" customFormat="false" ht="15" hidden="false" customHeight="false" outlineLevel="0" collapsed="false">
      <c r="A378" s="2" t="s">
        <v>459</v>
      </c>
      <c r="B378" s="2" t="s">
        <v>15</v>
      </c>
      <c r="C378" s="2" t="s">
        <v>34</v>
      </c>
      <c r="D378" s="2" t="s">
        <v>17</v>
      </c>
      <c r="E378" s="2" t="s">
        <v>18</v>
      </c>
      <c r="F378" s="2" t="s">
        <v>19</v>
      </c>
      <c r="G378" s="2" t="n">
        <v>2015</v>
      </c>
      <c r="H378" s="3" t="n">
        <v>8715.2</v>
      </c>
      <c r="I378" s="3" t="n">
        <v>7648.8</v>
      </c>
      <c r="J378" s="3" t="n">
        <v>1071.6</v>
      </c>
      <c r="K378" s="3" t="n">
        <v>2526.7</v>
      </c>
      <c r="L378" s="4" t="n">
        <v>28.99187626</v>
      </c>
      <c r="M378" s="3" t="n">
        <v>6188.5</v>
      </c>
      <c r="N378" s="4" t="n">
        <v>71.00812374</v>
      </c>
    </row>
    <row r="379" customFormat="false" ht="15" hidden="false" customHeight="false" outlineLevel="0" collapsed="false">
      <c r="A379" s="2" t="s">
        <v>460</v>
      </c>
      <c r="B379" s="2" t="s">
        <v>21</v>
      </c>
      <c r="C379" s="2" t="s">
        <v>16</v>
      </c>
      <c r="D379" s="2" t="s">
        <v>17</v>
      </c>
      <c r="E379" s="2" t="s">
        <v>23</v>
      </c>
      <c r="F379" s="2" t="s">
        <v>19</v>
      </c>
      <c r="G379" s="2" t="n">
        <v>2002</v>
      </c>
      <c r="H379" s="3" t="n">
        <v>8706.4</v>
      </c>
      <c r="I379" s="3" t="n">
        <v>8477.3</v>
      </c>
      <c r="J379" s="3" t="n">
        <v>233</v>
      </c>
      <c r="K379" s="3" t="n">
        <v>8083.8</v>
      </c>
      <c r="L379" s="4" t="n">
        <v>92.84893871</v>
      </c>
      <c r="M379" s="3" t="n">
        <v>622.6</v>
      </c>
      <c r="N379" s="4" t="n">
        <v>7.151061288</v>
      </c>
    </row>
    <row r="380" customFormat="false" ht="15" hidden="false" customHeight="false" outlineLevel="0" collapsed="false">
      <c r="A380" s="2" t="s">
        <v>461</v>
      </c>
      <c r="B380" s="2" t="s">
        <v>15</v>
      </c>
      <c r="C380" s="2" t="s">
        <v>462</v>
      </c>
      <c r="D380" s="2" t="s">
        <v>17</v>
      </c>
      <c r="E380" s="2" t="s">
        <v>61</v>
      </c>
      <c r="F380" s="2" t="s">
        <v>19</v>
      </c>
      <c r="G380" s="2" t="n">
        <v>2014</v>
      </c>
      <c r="H380" s="3" t="n">
        <v>8699.2</v>
      </c>
      <c r="I380" s="3" t="n">
        <v>8316.2</v>
      </c>
      <c r="J380" s="3" t="n">
        <v>386.2</v>
      </c>
      <c r="K380" s="3" t="n">
        <v>1923.6</v>
      </c>
      <c r="L380" s="4" t="n">
        <v>22.11237815</v>
      </c>
      <c r="M380" s="3" t="n">
        <v>6775.6</v>
      </c>
      <c r="N380" s="4" t="n">
        <v>77.88762185</v>
      </c>
    </row>
    <row r="381" customFormat="false" ht="15" hidden="false" customHeight="false" outlineLevel="0" collapsed="false">
      <c r="A381" s="2" t="s">
        <v>463</v>
      </c>
      <c r="B381" s="2" t="s">
        <v>15</v>
      </c>
      <c r="C381" s="2" t="s">
        <v>22</v>
      </c>
      <c r="D381" s="2" t="s">
        <v>17</v>
      </c>
      <c r="E381" s="2" t="s">
        <v>52</v>
      </c>
      <c r="F381" s="2" t="s">
        <v>49</v>
      </c>
      <c r="G381" s="2" t="n">
        <v>2003</v>
      </c>
      <c r="H381" s="3" t="n">
        <v>8647.8</v>
      </c>
      <c r="I381" s="3" t="n">
        <v>8598.1</v>
      </c>
      <c r="J381" s="3" t="n">
        <v>54</v>
      </c>
      <c r="K381" s="3" t="n">
        <v>8555.2</v>
      </c>
      <c r="L381" s="4" t="n">
        <v>98.92920743</v>
      </c>
      <c r="M381" s="3" t="n">
        <v>92.6</v>
      </c>
      <c r="N381" s="4" t="n">
        <v>1.070792572</v>
      </c>
    </row>
    <row r="382" customFormat="false" ht="15" hidden="false" customHeight="false" outlineLevel="0" collapsed="false">
      <c r="A382" s="2" t="s">
        <v>464</v>
      </c>
      <c r="B382" s="2" t="s">
        <v>15</v>
      </c>
      <c r="C382" s="2" t="s">
        <v>90</v>
      </c>
      <c r="D382" s="2" t="s">
        <v>25</v>
      </c>
      <c r="E382" s="2" t="s">
        <v>91</v>
      </c>
      <c r="F382" s="2" t="s">
        <v>19</v>
      </c>
      <c r="G382" s="2" t="n">
        <v>1975</v>
      </c>
      <c r="H382" s="3" t="n">
        <v>8622.1</v>
      </c>
      <c r="I382" s="3" t="n">
        <v>8534</v>
      </c>
      <c r="J382" s="3" t="n">
        <v>98.1</v>
      </c>
      <c r="K382" s="3" t="n">
        <v>7271</v>
      </c>
      <c r="L382" s="4" t="n">
        <v>84.32980364</v>
      </c>
      <c r="M382" s="3" t="n">
        <v>1351.1</v>
      </c>
      <c r="N382" s="4" t="n">
        <v>15.67019636</v>
      </c>
    </row>
    <row r="383" customFormat="false" ht="15" hidden="false" customHeight="false" outlineLevel="0" collapsed="false">
      <c r="A383" s="2" t="s">
        <v>465</v>
      </c>
      <c r="B383" s="2" t="s">
        <v>15</v>
      </c>
      <c r="C383" s="2" t="s">
        <v>90</v>
      </c>
      <c r="D383" s="2" t="s">
        <v>25</v>
      </c>
      <c r="E383" s="2" t="s">
        <v>83</v>
      </c>
      <c r="F383" s="2" t="s">
        <v>19</v>
      </c>
      <c r="G383" s="2" t="n">
        <v>1992</v>
      </c>
      <c r="H383" s="3" t="n">
        <v>8617.1</v>
      </c>
      <c r="I383" s="3" t="n">
        <v>7717.5</v>
      </c>
      <c r="J383" s="3" t="n">
        <v>899.6</v>
      </c>
      <c r="K383" s="3" t="n">
        <v>6368.3</v>
      </c>
      <c r="L383" s="4" t="n">
        <v>73.90305323</v>
      </c>
      <c r="M383" s="3" t="n">
        <v>2248.8</v>
      </c>
      <c r="N383" s="4" t="n">
        <v>26.09694677</v>
      </c>
    </row>
    <row r="384" customFormat="false" ht="15" hidden="false" customHeight="false" outlineLevel="0" collapsed="false">
      <c r="A384" s="2" t="s">
        <v>466</v>
      </c>
      <c r="B384" s="2" t="s">
        <v>15</v>
      </c>
      <c r="C384" s="2" t="s">
        <v>34</v>
      </c>
      <c r="D384" s="2" t="s">
        <v>17</v>
      </c>
      <c r="E384" s="2" t="s">
        <v>58</v>
      </c>
      <c r="F384" s="2" t="s">
        <v>49</v>
      </c>
      <c r="G384" s="2" t="n">
        <v>2012</v>
      </c>
      <c r="H384" s="3" t="n">
        <v>8591.1</v>
      </c>
      <c r="I384" s="3" t="n">
        <v>8578.7</v>
      </c>
      <c r="J384" s="3" t="n">
        <v>15.4</v>
      </c>
      <c r="K384" s="3" t="n">
        <v>7995.8</v>
      </c>
      <c r="L384" s="4" t="n">
        <v>93.07073599</v>
      </c>
      <c r="M384" s="3" t="n">
        <v>595.3</v>
      </c>
      <c r="N384" s="4" t="n">
        <v>6.929264006</v>
      </c>
    </row>
    <row r="385" customFormat="false" ht="15" hidden="false" customHeight="false" outlineLevel="0" collapsed="false">
      <c r="A385" s="2" t="s">
        <v>467</v>
      </c>
      <c r="B385" s="2" t="s">
        <v>15</v>
      </c>
      <c r="C385" s="2" t="s">
        <v>72</v>
      </c>
      <c r="D385" s="2" t="s">
        <v>73</v>
      </c>
      <c r="E385" s="2" t="s">
        <v>74</v>
      </c>
      <c r="F385" s="2" t="s">
        <v>49</v>
      </c>
      <c r="G385" s="2" t="n">
        <v>2009</v>
      </c>
      <c r="H385" s="3" t="n">
        <v>8584.2</v>
      </c>
      <c r="I385" s="3" t="n">
        <v>6741.1</v>
      </c>
      <c r="J385" s="3" t="n">
        <v>1843.2</v>
      </c>
      <c r="K385" s="3" t="n">
        <v>20</v>
      </c>
      <c r="L385" s="4" t="n">
        <v>0.2329861839</v>
      </c>
      <c r="M385" s="3" t="n">
        <v>8564.2</v>
      </c>
      <c r="N385" s="4" t="n">
        <v>99.76701382</v>
      </c>
    </row>
    <row r="386" customFormat="false" ht="15" hidden="false" customHeight="false" outlineLevel="0" collapsed="false">
      <c r="A386" s="2" t="s">
        <v>468</v>
      </c>
      <c r="B386" s="2" t="s">
        <v>15</v>
      </c>
      <c r="C386" s="2" t="s">
        <v>22</v>
      </c>
      <c r="D386" s="2" t="s">
        <v>17</v>
      </c>
      <c r="E386" s="2" t="s">
        <v>18</v>
      </c>
      <c r="F386" s="2" t="s">
        <v>19</v>
      </c>
      <c r="G386" s="2" t="n">
        <v>2014</v>
      </c>
      <c r="H386" s="3" t="n">
        <v>8564.5</v>
      </c>
      <c r="I386" s="3" t="n">
        <v>5566.1</v>
      </c>
      <c r="J386" s="3" t="n">
        <v>3001.4</v>
      </c>
      <c r="K386" s="3" t="n">
        <v>3239</v>
      </c>
      <c r="L386" s="4" t="n">
        <v>37.81890361</v>
      </c>
      <c r="M386" s="3" t="n">
        <v>5325.5</v>
      </c>
      <c r="N386" s="4" t="n">
        <v>62.18109639</v>
      </c>
    </row>
    <row r="387" customFormat="false" ht="15" hidden="false" customHeight="false" outlineLevel="0" collapsed="false">
      <c r="A387" s="2" t="s">
        <v>469</v>
      </c>
      <c r="B387" s="2" t="s">
        <v>15</v>
      </c>
      <c r="C387" s="2" t="s">
        <v>16</v>
      </c>
      <c r="D387" s="2" t="s">
        <v>17</v>
      </c>
      <c r="E387" s="2" t="s">
        <v>18</v>
      </c>
      <c r="F387" s="2" t="s">
        <v>19</v>
      </c>
      <c r="G387" s="2" t="n">
        <v>2017</v>
      </c>
      <c r="H387" s="3" t="n">
        <v>8564.4</v>
      </c>
      <c r="I387" s="3" t="n">
        <v>5619.6</v>
      </c>
      <c r="J387" s="3" t="n">
        <v>2944.9</v>
      </c>
      <c r="K387" s="3" t="n">
        <v>1852.6</v>
      </c>
      <c r="L387" s="4" t="n">
        <v>21.63140442</v>
      </c>
      <c r="M387" s="3" t="n">
        <v>6711.8</v>
      </c>
      <c r="N387" s="4" t="n">
        <v>78.36859558</v>
      </c>
    </row>
    <row r="388" customFormat="false" ht="15" hidden="false" customHeight="false" outlineLevel="0" collapsed="false">
      <c r="A388" s="2" t="s">
        <v>470</v>
      </c>
      <c r="B388" s="2" t="s">
        <v>15</v>
      </c>
      <c r="C388" s="2" t="s">
        <v>22</v>
      </c>
      <c r="D388" s="2" t="s">
        <v>17</v>
      </c>
      <c r="E388" s="2" t="s">
        <v>52</v>
      </c>
      <c r="F388" s="2" t="s">
        <v>19</v>
      </c>
      <c r="G388" s="2" t="n">
        <v>2001</v>
      </c>
      <c r="H388" s="3" t="n">
        <v>8551.4</v>
      </c>
      <c r="I388" s="3" t="n">
        <v>8199.3</v>
      </c>
      <c r="J388" s="3" t="n">
        <v>355</v>
      </c>
      <c r="K388" s="3" t="n">
        <v>7907.6</v>
      </c>
      <c r="L388" s="4" t="n">
        <v>92.47140819</v>
      </c>
      <c r="M388" s="3" t="n">
        <v>643.8</v>
      </c>
      <c r="N388" s="4" t="n">
        <v>7.52859181</v>
      </c>
    </row>
    <row r="389" customFormat="false" ht="15" hidden="false" customHeight="false" outlineLevel="0" collapsed="false">
      <c r="A389" s="2" t="s">
        <v>471</v>
      </c>
      <c r="B389" s="2" t="s">
        <v>79</v>
      </c>
      <c r="C389" s="2" t="s">
        <v>46</v>
      </c>
      <c r="D389" s="2" t="s">
        <v>47</v>
      </c>
      <c r="E389" s="2" t="s">
        <v>48</v>
      </c>
      <c r="F389" s="2" t="s">
        <v>49</v>
      </c>
      <c r="G389" s="2" t="n">
        <v>2015</v>
      </c>
      <c r="H389" s="3" t="n">
        <v>8531.3</v>
      </c>
      <c r="I389" s="3" t="n">
        <v>8465.7</v>
      </c>
      <c r="J389" s="3" t="n">
        <v>70</v>
      </c>
      <c r="K389" s="3" t="n">
        <v>8284.9</v>
      </c>
      <c r="L389" s="4" t="n">
        <v>97.1118118</v>
      </c>
      <c r="M389" s="3" t="n">
        <v>246.4</v>
      </c>
      <c r="N389" s="4" t="n">
        <v>2.888188201</v>
      </c>
    </row>
    <row r="390" customFormat="false" ht="15" hidden="false" customHeight="false" outlineLevel="0" collapsed="false">
      <c r="A390" s="2" t="s">
        <v>472</v>
      </c>
      <c r="B390" s="2" t="s">
        <v>15</v>
      </c>
      <c r="C390" s="2" t="s">
        <v>205</v>
      </c>
      <c r="D390" s="2" t="s">
        <v>17</v>
      </c>
      <c r="E390" s="2" t="s">
        <v>52</v>
      </c>
      <c r="F390" s="2" t="s">
        <v>49</v>
      </c>
      <c r="G390" s="2" t="n">
        <v>2008</v>
      </c>
      <c r="H390" s="3" t="n">
        <v>8509.5</v>
      </c>
      <c r="I390" s="3" t="n">
        <v>8483.9</v>
      </c>
      <c r="J390" s="3" t="n">
        <v>29.2</v>
      </c>
      <c r="K390" s="3" t="n">
        <v>6435.4</v>
      </c>
      <c r="L390" s="4" t="n">
        <v>75.62606499</v>
      </c>
      <c r="M390" s="3" t="n">
        <v>2074.1</v>
      </c>
      <c r="N390" s="4" t="n">
        <v>24.37393501</v>
      </c>
    </row>
    <row r="391" customFormat="false" ht="15" hidden="false" customHeight="false" outlineLevel="0" collapsed="false">
      <c r="A391" s="2" t="s">
        <v>473</v>
      </c>
      <c r="B391" s="2" t="s">
        <v>21</v>
      </c>
      <c r="C391" s="2" t="s">
        <v>223</v>
      </c>
      <c r="D391" s="2" t="s">
        <v>25</v>
      </c>
      <c r="E391" s="2" t="s">
        <v>23</v>
      </c>
      <c r="F391" s="2" t="s">
        <v>19</v>
      </c>
      <c r="G391" s="2" t="n">
        <v>2016</v>
      </c>
      <c r="H391" s="3" t="n">
        <v>8507.9</v>
      </c>
      <c r="I391" s="3" t="n">
        <v>5811.9</v>
      </c>
      <c r="J391" s="3" t="n">
        <v>2696</v>
      </c>
      <c r="K391" s="3" t="n">
        <v>1929.8</v>
      </c>
      <c r="L391" s="4" t="n">
        <v>22.68244808</v>
      </c>
      <c r="M391" s="3" t="n">
        <v>6578.1</v>
      </c>
      <c r="N391" s="4" t="n">
        <v>77.31755192</v>
      </c>
    </row>
    <row r="392" customFormat="false" ht="15" hidden="false" customHeight="false" outlineLevel="0" collapsed="false">
      <c r="A392" s="2" t="s">
        <v>474</v>
      </c>
      <c r="B392" s="2" t="s">
        <v>79</v>
      </c>
      <c r="C392" s="2" t="s">
        <v>22</v>
      </c>
      <c r="D392" s="2" t="s">
        <v>17</v>
      </c>
      <c r="E392" s="2" t="s">
        <v>23</v>
      </c>
      <c r="F392" s="2" t="s">
        <v>49</v>
      </c>
      <c r="G392" s="2" t="n">
        <v>1996</v>
      </c>
      <c r="H392" s="3" t="n">
        <v>8485.9</v>
      </c>
      <c r="I392" s="3" t="n">
        <v>8144</v>
      </c>
      <c r="J392" s="3" t="n">
        <v>346</v>
      </c>
      <c r="K392" s="3" t="n">
        <v>8125.7</v>
      </c>
      <c r="L392" s="4" t="n">
        <v>95.75531175</v>
      </c>
      <c r="M392" s="3" t="n">
        <v>360.2</v>
      </c>
      <c r="N392" s="4" t="n">
        <v>4.244688248</v>
      </c>
    </row>
    <row r="393" customFormat="false" ht="15" hidden="false" customHeight="false" outlineLevel="0" collapsed="false">
      <c r="A393" s="2" t="s">
        <v>475</v>
      </c>
      <c r="B393" s="2" t="s">
        <v>15</v>
      </c>
      <c r="C393" s="2" t="s">
        <v>46</v>
      </c>
      <c r="D393" s="2" t="s">
        <v>47</v>
      </c>
      <c r="E393" s="2" t="s">
        <v>48</v>
      </c>
      <c r="F393" s="2" t="s">
        <v>19</v>
      </c>
      <c r="G393" s="2" t="n">
        <v>2013</v>
      </c>
      <c r="H393" s="3" t="n">
        <v>8472.9</v>
      </c>
      <c r="I393" s="3" t="n">
        <v>7819.3</v>
      </c>
      <c r="J393" s="3" t="n">
        <v>656.6</v>
      </c>
      <c r="K393" s="3" t="n">
        <v>6967.6</v>
      </c>
      <c r="L393" s="4" t="n">
        <v>82.23394587</v>
      </c>
      <c r="M393" s="3" t="n">
        <v>1505.3</v>
      </c>
      <c r="N393" s="4" t="n">
        <v>17.76605413</v>
      </c>
    </row>
    <row r="394" customFormat="false" ht="15" hidden="false" customHeight="false" outlineLevel="0" collapsed="false">
      <c r="A394" s="2" t="s">
        <v>476</v>
      </c>
      <c r="B394" s="2" t="s">
        <v>15</v>
      </c>
      <c r="C394" s="2" t="s">
        <v>22</v>
      </c>
      <c r="D394" s="2" t="s">
        <v>25</v>
      </c>
      <c r="E394" s="2" t="s">
        <v>26</v>
      </c>
      <c r="F394" s="2" t="s">
        <v>49</v>
      </c>
      <c r="G394" s="2" t="n">
        <v>2004</v>
      </c>
      <c r="H394" s="3" t="n">
        <v>8457.4</v>
      </c>
      <c r="I394" s="3" t="n">
        <v>369.6</v>
      </c>
      <c r="J394" s="3" t="n">
        <v>8087.7</v>
      </c>
      <c r="K394" s="3" t="n">
        <v>1.3</v>
      </c>
      <c r="L394" s="4" t="n">
        <v>0.01537115426</v>
      </c>
      <c r="M394" s="3" t="n">
        <v>8456.1</v>
      </c>
      <c r="N394" s="4" t="n">
        <v>99.98462885</v>
      </c>
    </row>
    <row r="395" customFormat="false" ht="15" hidden="false" customHeight="false" outlineLevel="0" collapsed="false">
      <c r="A395" s="2" t="s">
        <v>477</v>
      </c>
      <c r="B395" s="2" t="s">
        <v>15</v>
      </c>
      <c r="C395" s="2" t="s">
        <v>22</v>
      </c>
      <c r="D395" s="2" t="s">
        <v>17</v>
      </c>
      <c r="E395" s="2" t="s">
        <v>18</v>
      </c>
      <c r="F395" s="2" t="s">
        <v>19</v>
      </c>
      <c r="G395" s="2" t="n">
        <v>2018</v>
      </c>
      <c r="H395" s="3" t="n">
        <v>8453.7</v>
      </c>
      <c r="I395" s="3" t="n">
        <v>6568.5</v>
      </c>
      <c r="J395" s="3" t="n">
        <v>1885.2</v>
      </c>
      <c r="K395" s="3" t="n">
        <v>4039.2</v>
      </c>
      <c r="L395" s="4" t="n">
        <v>47.7802619</v>
      </c>
      <c r="M395" s="3" t="n">
        <v>4414.5</v>
      </c>
      <c r="N395" s="4" t="n">
        <v>52.2197381</v>
      </c>
    </row>
    <row r="396" customFormat="false" ht="15" hidden="false" customHeight="false" outlineLevel="0" collapsed="false">
      <c r="A396" s="2" t="s">
        <v>478</v>
      </c>
      <c r="B396" s="2" t="s">
        <v>15</v>
      </c>
      <c r="C396" s="2" t="s">
        <v>479</v>
      </c>
      <c r="D396" s="2" t="s">
        <v>258</v>
      </c>
      <c r="E396" s="2" t="s">
        <v>18</v>
      </c>
      <c r="F396" s="2" t="s">
        <v>19</v>
      </c>
      <c r="G396" s="2" t="n">
        <v>2013</v>
      </c>
      <c r="H396" s="3" t="n">
        <v>8439.5</v>
      </c>
      <c r="I396" s="3" t="n">
        <v>6942.6</v>
      </c>
      <c r="J396" s="3" t="n">
        <v>1509.4</v>
      </c>
      <c r="K396" s="3" t="n">
        <v>3538.8</v>
      </c>
      <c r="L396" s="4" t="n">
        <v>41.93139404</v>
      </c>
      <c r="M396" s="3" t="n">
        <v>4900.7</v>
      </c>
      <c r="N396" s="4" t="n">
        <v>58.06860596</v>
      </c>
    </row>
    <row r="397" customFormat="false" ht="15" hidden="false" customHeight="false" outlineLevel="0" collapsed="false">
      <c r="A397" s="2" t="s">
        <v>480</v>
      </c>
      <c r="B397" s="2" t="s">
        <v>15</v>
      </c>
      <c r="C397" s="2" t="s">
        <v>90</v>
      </c>
      <c r="D397" s="2" t="s">
        <v>25</v>
      </c>
      <c r="E397" s="2" t="s">
        <v>91</v>
      </c>
      <c r="F397" s="2" t="s">
        <v>49</v>
      </c>
      <c r="G397" s="2" t="n">
        <v>2010</v>
      </c>
      <c r="H397" s="3" t="n">
        <v>8433.8</v>
      </c>
      <c r="I397" s="3" t="n">
        <v>7838.5</v>
      </c>
      <c r="J397" s="3" t="n">
        <v>603.3</v>
      </c>
      <c r="K397" s="3" t="n">
        <v>7244.3</v>
      </c>
      <c r="L397" s="4" t="n">
        <v>85.89603737</v>
      </c>
      <c r="M397" s="3" t="n">
        <v>1189.5</v>
      </c>
      <c r="N397" s="4" t="n">
        <v>14.10396263</v>
      </c>
    </row>
    <row r="398" customFormat="false" ht="15" hidden="false" customHeight="false" outlineLevel="0" collapsed="false">
      <c r="A398" s="2" t="s">
        <v>481</v>
      </c>
      <c r="B398" s="2" t="s">
        <v>21</v>
      </c>
      <c r="C398" s="2" t="s">
        <v>22</v>
      </c>
      <c r="D398" s="2" t="s">
        <v>17</v>
      </c>
      <c r="E398" s="2" t="s">
        <v>23</v>
      </c>
      <c r="F398" s="2" t="s">
        <v>19</v>
      </c>
      <c r="G398" s="2" t="n">
        <v>2017</v>
      </c>
      <c r="H398" s="3" t="n">
        <v>8382.9</v>
      </c>
      <c r="I398" s="3" t="n">
        <v>8387.8</v>
      </c>
      <c r="J398" s="3" t="n">
        <v>0</v>
      </c>
      <c r="K398" s="3" t="n">
        <v>8380.3</v>
      </c>
      <c r="L398" s="4" t="n">
        <v>99.96898448</v>
      </c>
      <c r="M398" s="3" t="n">
        <v>2.6</v>
      </c>
      <c r="N398" s="4" t="n">
        <v>0.03101551969</v>
      </c>
    </row>
    <row r="399" customFormat="false" ht="15" hidden="false" customHeight="false" outlineLevel="0" collapsed="false">
      <c r="A399" s="2" t="s">
        <v>482</v>
      </c>
      <c r="B399" s="2" t="s">
        <v>15</v>
      </c>
      <c r="C399" s="2" t="s">
        <v>22</v>
      </c>
      <c r="D399" s="2" t="s">
        <v>17</v>
      </c>
      <c r="E399" s="2" t="s">
        <v>456</v>
      </c>
      <c r="F399" s="2" t="s">
        <v>19</v>
      </c>
      <c r="G399" s="2" t="n">
        <v>1962</v>
      </c>
      <c r="H399" s="3" t="n">
        <v>8371.5</v>
      </c>
      <c r="I399" s="3" t="n">
        <v>7723.5</v>
      </c>
      <c r="J399" s="3" t="n">
        <v>648</v>
      </c>
      <c r="K399" s="3" t="n">
        <v>7485.7</v>
      </c>
      <c r="L399" s="4" t="n">
        <v>89.41886161</v>
      </c>
      <c r="M399" s="3" t="n">
        <v>885.8</v>
      </c>
      <c r="N399" s="4" t="n">
        <v>10.58113839</v>
      </c>
    </row>
    <row r="400" customFormat="false" ht="15" hidden="false" customHeight="false" outlineLevel="0" collapsed="false">
      <c r="A400" s="2" t="s">
        <v>483</v>
      </c>
      <c r="B400" s="2" t="s">
        <v>15</v>
      </c>
      <c r="C400" s="2" t="s">
        <v>22</v>
      </c>
      <c r="D400" s="2" t="s">
        <v>17</v>
      </c>
      <c r="E400" s="2" t="s">
        <v>18</v>
      </c>
      <c r="F400" s="2" t="s">
        <v>19</v>
      </c>
      <c r="G400" s="2" t="n">
        <v>1991</v>
      </c>
      <c r="H400" s="3" t="n">
        <v>8370.9</v>
      </c>
      <c r="I400" s="3" t="n">
        <v>1884.2</v>
      </c>
      <c r="J400" s="3" t="n">
        <v>6486.7</v>
      </c>
      <c r="K400" s="3" t="n">
        <v>175.8</v>
      </c>
      <c r="L400" s="4" t="n">
        <v>2.100132602</v>
      </c>
      <c r="M400" s="3" t="n">
        <v>8195.1</v>
      </c>
      <c r="N400" s="4" t="n">
        <v>97.8998674</v>
      </c>
    </row>
    <row r="401" customFormat="false" ht="15" hidden="false" customHeight="false" outlineLevel="0" collapsed="false">
      <c r="A401" s="2" t="s">
        <v>484</v>
      </c>
      <c r="B401" s="2" t="s">
        <v>15</v>
      </c>
      <c r="C401" s="2" t="s">
        <v>34</v>
      </c>
      <c r="D401" s="2" t="s">
        <v>17</v>
      </c>
      <c r="E401" s="2" t="s">
        <v>23</v>
      </c>
      <c r="F401" s="2" t="s">
        <v>19</v>
      </c>
      <c r="G401" s="2" t="n">
        <v>2003</v>
      </c>
      <c r="H401" s="3" t="n">
        <v>8366.3</v>
      </c>
      <c r="I401" s="3" t="n">
        <v>6159.1</v>
      </c>
      <c r="J401" s="3" t="n">
        <v>2210.1</v>
      </c>
      <c r="K401" s="3" t="n">
        <v>10.3</v>
      </c>
      <c r="L401" s="4" t="n">
        <v>0.1231129651</v>
      </c>
      <c r="M401" s="3" t="n">
        <v>8356</v>
      </c>
      <c r="N401" s="4" t="n">
        <v>99.87688703</v>
      </c>
    </row>
    <row r="402" customFormat="false" ht="15" hidden="false" customHeight="false" outlineLevel="0" collapsed="false">
      <c r="A402" s="2" t="s">
        <v>485</v>
      </c>
      <c r="B402" s="2" t="s">
        <v>21</v>
      </c>
      <c r="C402" s="2" t="s">
        <v>22</v>
      </c>
      <c r="D402" s="2" t="s">
        <v>17</v>
      </c>
      <c r="E402" s="2" t="s">
        <v>23</v>
      </c>
      <c r="F402" s="2" t="s">
        <v>19</v>
      </c>
      <c r="G402" s="2" t="n">
        <v>2002</v>
      </c>
      <c r="H402" s="3" t="n">
        <v>8339.3</v>
      </c>
      <c r="I402" s="3" t="n">
        <v>7864.3</v>
      </c>
      <c r="J402" s="3" t="n">
        <v>477.4</v>
      </c>
      <c r="K402" s="3" t="n">
        <v>7297.4</v>
      </c>
      <c r="L402" s="4" t="n">
        <v>87.5061456</v>
      </c>
      <c r="M402" s="3" t="n">
        <v>1041.9</v>
      </c>
      <c r="N402" s="4" t="n">
        <v>12.4938544</v>
      </c>
    </row>
    <row r="403" customFormat="false" ht="15" hidden="false" customHeight="false" outlineLevel="0" collapsed="false">
      <c r="A403" s="2" t="s">
        <v>486</v>
      </c>
      <c r="B403" s="2" t="s">
        <v>15</v>
      </c>
      <c r="C403" s="2" t="s">
        <v>22</v>
      </c>
      <c r="D403" s="2" t="s">
        <v>17</v>
      </c>
      <c r="E403" s="2" t="s">
        <v>52</v>
      </c>
      <c r="F403" s="2" t="s">
        <v>49</v>
      </c>
      <c r="G403" s="2" t="n">
        <v>1989</v>
      </c>
      <c r="H403" s="3" t="n">
        <v>8330.4</v>
      </c>
      <c r="I403" s="3" t="n">
        <v>8328.6</v>
      </c>
      <c r="J403" s="3" t="n">
        <v>5.6</v>
      </c>
      <c r="K403" s="3" t="n">
        <v>8188.5</v>
      </c>
      <c r="L403" s="4" t="n">
        <v>98.2966004</v>
      </c>
      <c r="M403" s="3" t="n">
        <v>141.9</v>
      </c>
      <c r="N403" s="4" t="n">
        <v>1.703399597</v>
      </c>
    </row>
    <row r="404" customFormat="false" ht="15" hidden="false" customHeight="false" outlineLevel="0" collapsed="false">
      <c r="A404" s="2" t="s">
        <v>487</v>
      </c>
      <c r="B404" s="2" t="s">
        <v>15</v>
      </c>
      <c r="C404" s="2" t="s">
        <v>129</v>
      </c>
      <c r="D404" s="2" t="s">
        <v>130</v>
      </c>
      <c r="E404" s="2" t="s">
        <v>18</v>
      </c>
      <c r="F404" s="2" t="s">
        <v>19</v>
      </c>
      <c r="G404" s="2" t="n">
        <v>2006</v>
      </c>
      <c r="H404" s="3" t="n">
        <v>8326.7</v>
      </c>
      <c r="I404" s="3" t="n">
        <v>4696.4</v>
      </c>
      <c r="J404" s="3" t="n">
        <v>3630.4</v>
      </c>
      <c r="K404" s="3" t="n">
        <v>1125.8</v>
      </c>
      <c r="L404" s="4" t="n">
        <v>13.52036221</v>
      </c>
      <c r="M404" s="3" t="n">
        <v>7200.9</v>
      </c>
      <c r="N404" s="4" t="n">
        <v>86.47963779</v>
      </c>
    </row>
    <row r="405" customFormat="false" ht="15" hidden="false" customHeight="false" outlineLevel="0" collapsed="false">
      <c r="A405" s="2" t="s">
        <v>488</v>
      </c>
      <c r="B405" s="2" t="s">
        <v>21</v>
      </c>
      <c r="C405" s="2" t="s">
        <v>129</v>
      </c>
      <c r="D405" s="2" t="s">
        <v>130</v>
      </c>
      <c r="E405" s="2" t="s">
        <v>489</v>
      </c>
      <c r="F405" s="2" t="s">
        <v>19</v>
      </c>
      <c r="G405" s="2" t="n">
        <v>1980</v>
      </c>
      <c r="H405" s="3" t="n">
        <v>8316.5</v>
      </c>
      <c r="I405" s="3" t="n">
        <v>8317.8</v>
      </c>
      <c r="J405" s="3" t="n">
        <v>0</v>
      </c>
      <c r="K405" s="3" t="n">
        <v>8289</v>
      </c>
      <c r="L405" s="4" t="n">
        <v>99.66933205</v>
      </c>
      <c r="M405" s="3" t="n">
        <v>27.5</v>
      </c>
      <c r="N405" s="4" t="n">
        <v>0.3306679493</v>
      </c>
    </row>
    <row r="406" customFormat="false" ht="15" hidden="false" customHeight="false" outlineLevel="0" collapsed="false">
      <c r="A406" s="2" t="s">
        <v>490</v>
      </c>
      <c r="B406" s="2" t="s">
        <v>15</v>
      </c>
      <c r="C406" s="2" t="s">
        <v>223</v>
      </c>
      <c r="D406" s="2" t="s">
        <v>25</v>
      </c>
      <c r="E406" s="2" t="s">
        <v>18</v>
      </c>
      <c r="F406" s="2" t="s">
        <v>19</v>
      </c>
      <c r="G406" s="2" t="n">
        <v>2021</v>
      </c>
      <c r="H406" s="3" t="n">
        <v>8309.1</v>
      </c>
      <c r="I406" s="3" t="n">
        <v>5592</v>
      </c>
      <c r="J406" s="3" t="n">
        <v>2724.4</v>
      </c>
      <c r="K406" s="3" t="n">
        <v>3545.8</v>
      </c>
      <c r="L406" s="4" t="n">
        <v>42.67369511</v>
      </c>
      <c r="M406" s="3" t="n">
        <v>4763.3</v>
      </c>
      <c r="N406" s="4" t="n">
        <v>57.32630489</v>
      </c>
    </row>
    <row r="407" customFormat="false" ht="15" hidden="false" customHeight="false" outlineLevel="0" collapsed="false">
      <c r="A407" s="2" t="s">
        <v>491</v>
      </c>
      <c r="B407" s="2" t="s">
        <v>15</v>
      </c>
      <c r="C407" s="2" t="s">
        <v>22</v>
      </c>
      <c r="D407" s="2" t="s">
        <v>25</v>
      </c>
      <c r="E407" s="2" t="s">
        <v>26</v>
      </c>
      <c r="F407" s="2" t="s">
        <v>19</v>
      </c>
      <c r="G407" s="2" t="n">
        <v>2019</v>
      </c>
      <c r="H407" s="3" t="n">
        <v>8282.3</v>
      </c>
      <c r="I407" s="3" t="n">
        <v>6707</v>
      </c>
      <c r="J407" s="3" t="n">
        <v>1607.4</v>
      </c>
      <c r="K407" s="3" t="n">
        <v>999.5</v>
      </c>
      <c r="L407" s="4" t="n">
        <v>12.06790384</v>
      </c>
      <c r="M407" s="3" t="n">
        <v>7282.8</v>
      </c>
      <c r="N407" s="4" t="n">
        <v>87.93209616</v>
      </c>
    </row>
    <row r="408" customFormat="false" ht="15" hidden="false" customHeight="false" outlineLevel="0" collapsed="false">
      <c r="A408" s="2" t="s">
        <v>492</v>
      </c>
      <c r="B408" s="2" t="s">
        <v>15</v>
      </c>
      <c r="C408" s="2" t="s">
        <v>129</v>
      </c>
      <c r="D408" s="2" t="s">
        <v>17</v>
      </c>
      <c r="E408" s="2" t="s">
        <v>61</v>
      </c>
      <c r="F408" s="2" t="s">
        <v>19</v>
      </c>
      <c r="G408" s="2" t="n">
        <v>2013</v>
      </c>
      <c r="H408" s="3" t="n">
        <v>8278.7</v>
      </c>
      <c r="I408" s="3" t="n">
        <v>4898.7</v>
      </c>
      <c r="J408" s="3" t="n">
        <v>3389.6</v>
      </c>
      <c r="K408" s="3" t="n">
        <v>53.5</v>
      </c>
      <c r="L408" s="4" t="n">
        <v>0.646236728</v>
      </c>
      <c r="M408" s="3" t="n">
        <v>8225.2</v>
      </c>
      <c r="N408" s="4" t="n">
        <v>99.35376327</v>
      </c>
    </row>
    <row r="409" customFormat="false" ht="15" hidden="false" customHeight="false" outlineLevel="0" collapsed="false">
      <c r="A409" s="2" t="s">
        <v>493</v>
      </c>
      <c r="B409" s="2" t="s">
        <v>15</v>
      </c>
      <c r="C409" s="2" t="s">
        <v>205</v>
      </c>
      <c r="D409" s="2" t="s">
        <v>17</v>
      </c>
      <c r="E409" s="2" t="s">
        <v>23</v>
      </c>
      <c r="F409" s="2" t="s">
        <v>19</v>
      </c>
      <c r="G409" s="2" t="n">
        <v>2010</v>
      </c>
      <c r="H409" s="3" t="n">
        <v>8263</v>
      </c>
      <c r="I409" s="3" t="n">
        <v>3585.1</v>
      </c>
      <c r="J409" s="3" t="n">
        <v>4693.6</v>
      </c>
      <c r="K409" s="3" t="n">
        <v>6241</v>
      </c>
      <c r="L409" s="4" t="n">
        <v>75.52946872</v>
      </c>
      <c r="M409" s="3" t="n">
        <v>2022</v>
      </c>
      <c r="N409" s="4" t="n">
        <v>24.47053128</v>
      </c>
    </row>
    <row r="410" customFormat="false" ht="15" hidden="false" customHeight="false" outlineLevel="0" collapsed="false">
      <c r="A410" s="2" t="s">
        <v>494</v>
      </c>
      <c r="B410" s="2" t="s">
        <v>15</v>
      </c>
      <c r="C410" s="2" t="s">
        <v>22</v>
      </c>
      <c r="D410" s="2" t="s">
        <v>17</v>
      </c>
      <c r="E410" s="2" t="s">
        <v>18</v>
      </c>
      <c r="F410" s="2" t="s">
        <v>19</v>
      </c>
      <c r="G410" s="2" t="n">
        <v>2017</v>
      </c>
      <c r="H410" s="3" t="n">
        <v>8240.2</v>
      </c>
      <c r="I410" s="3" t="n">
        <v>6845.4</v>
      </c>
      <c r="J410" s="3" t="n">
        <v>1394.8</v>
      </c>
      <c r="K410" s="3" t="n">
        <v>2320.7</v>
      </c>
      <c r="L410" s="4" t="n">
        <v>28.16315138</v>
      </c>
      <c r="M410" s="3" t="n">
        <v>5919.5</v>
      </c>
      <c r="N410" s="4" t="n">
        <v>71.83684862</v>
      </c>
    </row>
    <row r="411" customFormat="false" ht="15" hidden="false" customHeight="false" outlineLevel="0" collapsed="false">
      <c r="A411" s="2" t="s">
        <v>495</v>
      </c>
      <c r="B411" s="2" t="s">
        <v>15</v>
      </c>
      <c r="C411" s="2" t="s">
        <v>22</v>
      </c>
      <c r="D411" s="2" t="s">
        <v>17</v>
      </c>
      <c r="E411" s="2" t="s">
        <v>18</v>
      </c>
      <c r="F411" s="2" t="s">
        <v>19</v>
      </c>
      <c r="G411" s="2" t="n">
        <v>1992</v>
      </c>
      <c r="H411" s="3" t="n">
        <v>8235.9</v>
      </c>
      <c r="I411" s="3" t="n">
        <v>1236.7</v>
      </c>
      <c r="J411" s="3" t="n">
        <v>6999.2</v>
      </c>
      <c r="K411" s="3" t="n">
        <v>228.2</v>
      </c>
      <c r="L411" s="4" t="n">
        <v>2.770796149</v>
      </c>
      <c r="M411" s="3" t="n">
        <v>8007.7</v>
      </c>
      <c r="N411" s="4" t="n">
        <v>97.22920385</v>
      </c>
    </row>
    <row r="412" customFormat="false" ht="15" hidden="false" customHeight="false" outlineLevel="0" collapsed="false">
      <c r="A412" s="2" t="s">
        <v>496</v>
      </c>
      <c r="B412" s="2" t="s">
        <v>15</v>
      </c>
      <c r="C412" s="2" t="s">
        <v>22</v>
      </c>
      <c r="D412" s="2" t="s">
        <v>25</v>
      </c>
      <c r="E412" s="2" t="s">
        <v>26</v>
      </c>
      <c r="F412" s="2" t="s">
        <v>19</v>
      </c>
      <c r="G412" s="2" t="n">
        <v>2014</v>
      </c>
      <c r="H412" s="3" t="n">
        <v>8216.5</v>
      </c>
      <c r="I412" s="3" t="n">
        <v>760.9</v>
      </c>
      <c r="J412" s="3" t="n">
        <v>7455.6</v>
      </c>
      <c r="K412" s="3" t="n">
        <v>196.8</v>
      </c>
      <c r="L412" s="4" t="n">
        <v>2.39518043</v>
      </c>
      <c r="M412" s="3" t="n">
        <v>8019.7</v>
      </c>
      <c r="N412" s="4" t="n">
        <v>97.60481957</v>
      </c>
    </row>
    <row r="413" customFormat="false" ht="15" hidden="false" customHeight="false" outlineLevel="0" collapsed="false">
      <c r="A413" s="2" t="s">
        <v>497</v>
      </c>
      <c r="B413" s="2" t="s">
        <v>15</v>
      </c>
      <c r="C413" s="2" t="s">
        <v>90</v>
      </c>
      <c r="D413" s="2" t="s">
        <v>25</v>
      </c>
      <c r="E413" s="2" t="s">
        <v>91</v>
      </c>
      <c r="F413" s="2" t="s">
        <v>19</v>
      </c>
      <c r="G413" s="2" t="n">
        <v>1966</v>
      </c>
      <c r="H413" s="3" t="n">
        <v>8205.4</v>
      </c>
      <c r="I413" s="3" t="n">
        <v>8009</v>
      </c>
      <c r="J413" s="3" t="n">
        <v>204.5</v>
      </c>
      <c r="K413" s="3" t="n">
        <v>7878.1</v>
      </c>
      <c r="L413" s="4" t="n">
        <v>96.01116338</v>
      </c>
      <c r="M413" s="3" t="n">
        <v>327.3</v>
      </c>
      <c r="N413" s="4" t="n">
        <v>3.98883662</v>
      </c>
    </row>
    <row r="414" customFormat="false" ht="15" hidden="false" customHeight="false" outlineLevel="0" collapsed="false">
      <c r="A414" s="2" t="s">
        <v>498</v>
      </c>
      <c r="B414" s="2" t="s">
        <v>15</v>
      </c>
      <c r="C414" s="2" t="s">
        <v>16</v>
      </c>
      <c r="D414" s="2" t="s">
        <v>17</v>
      </c>
      <c r="E414" s="2" t="s">
        <v>52</v>
      </c>
      <c r="F414" s="2" t="s">
        <v>49</v>
      </c>
      <c r="G414" s="2" t="n">
        <v>2003</v>
      </c>
      <c r="H414" s="3" t="n">
        <v>8203</v>
      </c>
      <c r="I414" s="3" t="n">
        <v>7983.1</v>
      </c>
      <c r="J414" s="3" t="n">
        <v>224.9</v>
      </c>
      <c r="K414" s="3" t="n">
        <v>7947.8</v>
      </c>
      <c r="L414" s="4" t="n">
        <v>96.88894307</v>
      </c>
      <c r="M414" s="3" t="n">
        <v>255.2</v>
      </c>
      <c r="N414" s="4" t="n">
        <v>3.11105693</v>
      </c>
    </row>
    <row r="415" customFormat="false" ht="15" hidden="false" customHeight="false" outlineLevel="0" collapsed="false">
      <c r="A415" s="2" t="s">
        <v>499</v>
      </c>
      <c r="B415" s="2" t="s">
        <v>79</v>
      </c>
      <c r="C415" s="2" t="s">
        <v>22</v>
      </c>
      <c r="D415" s="2" t="s">
        <v>17</v>
      </c>
      <c r="E415" s="2" t="s">
        <v>52</v>
      </c>
      <c r="F415" s="2" t="s">
        <v>49</v>
      </c>
      <c r="G415" s="2" t="n">
        <v>1973</v>
      </c>
      <c r="H415" s="3" t="n">
        <v>8200.1</v>
      </c>
      <c r="I415" s="3" t="n">
        <v>7224.1</v>
      </c>
      <c r="J415" s="3" t="n">
        <v>979.3</v>
      </c>
      <c r="K415" s="3" t="n">
        <v>7171.3</v>
      </c>
      <c r="L415" s="4" t="n">
        <v>87.45381154</v>
      </c>
      <c r="M415" s="3" t="n">
        <v>1028.8</v>
      </c>
      <c r="N415" s="4" t="n">
        <v>12.54618846</v>
      </c>
    </row>
    <row r="416" customFormat="false" ht="15" hidden="false" customHeight="false" outlineLevel="0" collapsed="false">
      <c r="A416" s="2" t="s">
        <v>500</v>
      </c>
      <c r="B416" s="2" t="s">
        <v>15</v>
      </c>
      <c r="C416" s="2" t="s">
        <v>34</v>
      </c>
      <c r="D416" s="2" t="s">
        <v>17</v>
      </c>
      <c r="E416" s="2" t="s">
        <v>23</v>
      </c>
      <c r="F416" s="2" t="s">
        <v>49</v>
      </c>
      <c r="G416" s="2" t="n">
        <v>1963</v>
      </c>
      <c r="H416" s="3" t="n">
        <v>8197.2</v>
      </c>
      <c r="I416" s="3" t="n">
        <v>8080.4</v>
      </c>
      <c r="J416" s="3" t="n">
        <v>120.7</v>
      </c>
      <c r="K416" s="3" t="n">
        <v>7892.6</v>
      </c>
      <c r="L416" s="4" t="n">
        <v>96.28409701</v>
      </c>
      <c r="M416" s="3" t="n">
        <v>304.6</v>
      </c>
      <c r="N416" s="4" t="n">
        <v>3.715902991</v>
      </c>
    </row>
    <row r="417" customFormat="false" ht="15" hidden="false" customHeight="false" outlineLevel="0" collapsed="false">
      <c r="A417" s="2" t="s">
        <v>501</v>
      </c>
      <c r="B417" s="2" t="s">
        <v>15</v>
      </c>
      <c r="C417" s="2" t="s">
        <v>502</v>
      </c>
      <c r="D417" s="2" t="s">
        <v>73</v>
      </c>
      <c r="E417" s="2" t="s">
        <v>74</v>
      </c>
      <c r="F417" s="2" t="s">
        <v>19</v>
      </c>
      <c r="G417" s="2" t="n">
        <v>1980</v>
      </c>
      <c r="H417" s="3" t="n">
        <v>8186.9</v>
      </c>
      <c r="I417" s="3" t="n">
        <v>3408.5</v>
      </c>
      <c r="J417" s="3" t="n">
        <v>4789.5</v>
      </c>
      <c r="K417" s="3" t="n">
        <v>515.9</v>
      </c>
      <c r="L417" s="4" t="n">
        <v>6.301530494</v>
      </c>
      <c r="M417" s="3" t="n">
        <v>7671</v>
      </c>
      <c r="N417" s="4" t="n">
        <v>93.69846951</v>
      </c>
    </row>
    <row r="418" customFormat="false" ht="15" hidden="false" customHeight="false" outlineLevel="0" collapsed="false">
      <c r="A418" s="2" t="s">
        <v>503</v>
      </c>
      <c r="B418" s="2" t="s">
        <v>15</v>
      </c>
      <c r="C418" s="2" t="s">
        <v>43</v>
      </c>
      <c r="D418" s="2" t="s">
        <v>25</v>
      </c>
      <c r="E418" s="2" t="s">
        <v>83</v>
      </c>
      <c r="F418" s="2" t="s">
        <v>49</v>
      </c>
      <c r="G418" s="2" t="n">
        <v>2012</v>
      </c>
      <c r="H418" s="3" t="n">
        <v>8164.9</v>
      </c>
      <c r="I418" s="3" t="n">
        <v>7391.5</v>
      </c>
      <c r="J418" s="3" t="n">
        <v>775.8</v>
      </c>
      <c r="K418" s="3" t="n">
        <v>1621.1</v>
      </c>
      <c r="L418" s="4" t="n">
        <v>19.85449914</v>
      </c>
      <c r="M418" s="3" t="n">
        <v>6543.8</v>
      </c>
      <c r="N418" s="4" t="n">
        <v>80.14550086</v>
      </c>
    </row>
    <row r="419" customFormat="false" ht="15" hidden="false" customHeight="false" outlineLevel="0" collapsed="false">
      <c r="A419" s="2" t="s">
        <v>504</v>
      </c>
      <c r="B419" s="2" t="s">
        <v>15</v>
      </c>
      <c r="C419" s="2" t="s">
        <v>22</v>
      </c>
      <c r="D419" s="2" t="s">
        <v>17</v>
      </c>
      <c r="E419" s="2" t="s">
        <v>18</v>
      </c>
      <c r="F419" s="2" t="s">
        <v>19</v>
      </c>
      <c r="G419" s="2" t="n">
        <v>2015</v>
      </c>
      <c r="H419" s="3" t="n">
        <v>8148</v>
      </c>
      <c r="I419" s="3" t="n">
        <v>7808</v>
      </c>
      <c r="J419" s="3" t="n">
        <v>340</v>
      </c>
      <c r="K419" s="3" t="n">
        <v>6616.8</v>
      </c>
      <c r="L419" s="4" t="n">
        <v>81.20765832</v>
      </c>
      <c r="M419" s="3" t="n">
        <v>1531.2</v>
      </c>
      <c r="N419" s="4" t="n">
        <v>18.79234168</v>
      </c>
    </row>
    <row r="420" customFormat="false" ht="15" hidden="false" customHeight="false" outlineLevel="0" collapsed="false">
      <c r="A420" s="2" t="s">
        <v>505</v>
      </c>
      <c r="B420" s="2" t="s">
        <v>15</v>
      </c>
      <c r="C420" s="2" t="s">
        <v>95</v>
      </c>
      <c r="D420" s="2" t="s">
        <v>17</v>
      </c>
      <c r="E420" s="2" t="s">
        <v>273</v>
      </c>
      <c r="F420" s="2" t="s">
        <v>19</v>
      </c>
      <c r="G420" s="2" t="n">
        <v>2013</v>
      </c>
      <c r="H420" s="3" t="n">
        <v>8092.2</v>
      </c>
      <c r="I420" s="3" t="n">
        <v>7918.7</v>
      </c>
      <c r="J420" s="3" t="n">
        <v>176.9</v>
      </c>
      <c r="K420" s="3" t="n">
        <v>7804.3</v>
      </c>
      <c r="L420" s="4" t="n">
        <v>96.44225303</v>
      </c>
      <c r="M420" s="3" t="n">
        <v>287.9</v>
      </c>
      <c r="N420" s="4" t="n">
        <v>3.557746966</v>
      </c>
    </row>
    <row r="421" customFormat="false" ht="15" hidden="false" customHeight="false" outlineLevel="0" collapsed="false">
      <c r="A421" s="2" t="s">
        <v>506</v>
      </c>
      <c r="B421" s="2" t="s">
        <v>15</v>
      </c>
      <c r="C421" s="2" t="s">
        <v>22</v>
      </c>
      <c r="D421" s="2" t="s">
        <v>17</v>
      </c>
      <c r="E421" s="2" t="s">
        <v>273</v>
      </c>
      <c r="F421" s="2" t="s">
        <v>19</v>
      </c>
      <c r="G421" s="2" t="n">
        <v>2007</v>
      </c>
      <c r="H421" s="3" t="n">
        <v>8065.4</v>
      </c>
      <c r="I421" s="3" t="n">
        <v>7161.8</v>
      </c>
      <c r="J421" s="3" t="n">
        <v>905.7</v>
      </c>
      <c r="K421" s="3" t="n">
        <v>4817</v>
      </c>
      <c r="L421" s="4" t="n">
        <v>59.72425422</v>
      </c>
      <c r="M421" s="3" t="n">
        <v>3248.4</v>
      </c>
      <c r="N421" s="4" t="n">
        <v>40.27574578</v>
      </c>
    </row>
    <row r="422" customFormat="false" ht="15" hidden="false" customHeight="false" outlineLevel="0" collapsed="false">
      <c r="A422" s="2" t="s">
        <v>507</v>
      </c>
      <c r="B422" s="2" t="s">
        <v>15</v>
      </c>
      <c r="C422" s="2" t="s">
        <v>22</v>
      </c>
      <c r="D422" s="2" t="s">
        <v>25</v>
      </c>
      <c r="E422" s="2" t="s">
        <v>91</v>
      </c>
      <c r="F422" s="2" t="s">
        <v>49</v>
      </c>
      <c r="G422" s="2" t="n">
        <v>2020</v>
      </c>
      <c r="H422" s="3" t="n">
        <v>8063.4</v>
      </c>
      <c r="I422" s="3" t="n">
        <v>5540.4</v>
      </c>
      <c r="J422" s="3" t="n">
        <v>2525</v>
      </c>
      <c r="K422" s="3" t="n">
        <v>3610.3</v>
      </c>
      <c r="L422" s="4" t="n">
        <v>44.77391671</v>
      </c>
      <c r="M422" s="3" t="n">
        <v>4453.1</v>
      </c>
      <c r="N422" s="4" t="n">
        <v>55.22608329</v>
      </c>
    </row>
    <row r="423" customFormat="false" ht="15" hidden="false" customHeight="false" outlineLevel="0" collapsed="false">
      <c r="A423" s="2" t="s">
        <v>508</v>
      </c>
      <c r="B423" s="2" t="s">
        <v>21</v>
      </c>
      <c r="C423" s="2" t="s">
        <v>46</v>
      </c>
      <c r="D423" s="2" t="s">
        <v>47</v>
      </c>
      <c r="E423" s="2" t="s">
        <v>48</v>
      </c>
      <c r="F423" s="2" t="s">
        <v>19</v>
      </c>
      <c r="G423" s="2" t="n">
        <v>2016</v>
      </c>
      <c r="H423" s="3" t="n">
        <v>8056.8</v>
      </c>
      <c r="I423" s="3" t="n">
        <v>4415.6</v>
      </c>
      <c r="J423" s="3" t="n">
        <v>3648.3</v>
      </c>
      <c r="K423" s="3" t="n">
        <v>3447</v>
      </c>
      <c r="L423" s="4" t="n">
        <v>42.78373548</v>
      </c>
      <c r="M423" s="3" t="n">
        <v>4609.8</v>
      </c>
      <c r="N423" s="4" t="n">
        <v>57.21626452</v>
      </c>
    </row>
    <row r="424" customFormat="false" ht="15" hidden="false" customHeight="false" outlineLevel="0" collapsed="false">
      <c r="A424" s="2" t="s">
        <v>509</v>
      </c>
      <c r="B424" s="2" t="s">
        <v>15</v>
      </c>
      <c r="C424" s="2" t="s">
        <v>22</v>
      </c>
      <c r="D424" s="2" t="s">
        <v>17</v>
      </c>
      <c r="E424" s="2" t="s">
        <v>18</v>
      </c>
      <c r="F424" s="2" t="s">
        <v>19</v>
      </c>
      <c r="G424" s="2" t="n">
        <v>2011</v>
      </c>
      <c r="H424" s="3" t="n">
        <v>8043.6</v>
      </c>
      <c r="I424" s="3" t="n">
        <v>7678.7</v>
      </c>
      <c r="J424" s="3" t="n">
        <v>364.9</v>
      </c>
      <c r="K424" s="3" t="n">
        <v>6527.6</v>
      </c>
      <c r="L424" s="4" t="n">
        <v>81.15271769</v>
      </c>
      <c r="M424" s="3" t="n">
        <v>1516</v>
      </c>
      <c r="N424" s="4" t="n">
        <v>18.84728231</v>
      </c>
    </row>
    <row r="425" customFormat="false" ht="15" hidden="false" customHeight="false" outlineLevel="0" collapsed="false">
      <c r="A425" s="2" t="s">
        <v>510</v>
      </c>
      <c r="B425" s="2" t="s">
        <v>15</v>
      </c>
      <c r="C425" s="2" t="s">
        <v>22</v>
      </c>
      <c r="D425" s="2" t="s">
        <v>17</v>
      </c>
      <c r="E425" s="2" t="s">
        <v>18</v>
      </c>
      <c r="F425" s="2" t="s">
        <v>49</v>
      </c>
      <c r="G425" s="2" t="n">
        <v>2013</v>
      </c>
      <c r="H425" s="3" t="n">
        <v>8030.3</v>
      </c>
      <c r="I425" s="3" t="n">
        <v>7270.4</v>
      </c>
      <c r="J425" s="3" t="n">
        <v>754.2</v>
      </c>
      <c r="K425" s="3" t="n">
        <v>4098.4</v>
      </c>
      <c r="L425" s="4" t="n">
        <v>51.0366985</v>
      </c>
      <c r="M425" s="3" t="n">
        <v>3931.9</v>
      </c>
      <c r="N425" s="4" t="n">
        <v>48.9633015</v>
      </c>
    </row>
    <row r="426" customFormat="false" ht="15" hidden="false" customHeight="false" outlineLevel="0" collapsed="false">
      <c r="A426" s="2" t="s">
        <v>511</v>
      </c>
      <c r="B426" s="2" t="s">
        <v>21</v>
      </c>
      <c r="C426" s="2" t="s">
        <v>34</v>
      </c>
      <c r="D426" s="2" t="s">
        <v>17</v>
      </c>
      <c r="E426" s="2" t="s">
        <v>23</v>
      </c>
      <c r="F426" s="2" t="s">
        <v>19</v>
      </c>
      <c r="G426" s="2" t="n">
        <v>2014</v>
      </c>
      <c r="H426" s="3" t="n">
        <v>8019.9</v>
      </c>
      <c r="I426" s="3" t="n">
        <v>3097.3</v>
      </c>
      <c r="J426" s="3" t="n">
        <v>4922.6</v>
      </c>
      <c r="K426" s="3" t="n">
        <v>2755.3</v>
      </c>
      <c r="L426" s="4" t="n">
        <v>34.35578997</v>
      </c>
      <c r="M426" s="3" t="n">
        <v>5264.6</v>
      </c>
      <c r="N426" s="4" t="n">
        <v>65.64421003</v>
      </c>
    </row>
    <row r="427" customFormat="false" ht="15" hidden="false" customHeight="false" outlineLevel="0" collapsed="false">
      <c r="A427" s="2" t="s">
        <v>512</v>
      </c>
      <c r="B427" s="2" t="s">
        <v>15</v>
      </c>
      <c r="C427" s="2" t="s">
        <v>34</v>
      </c>
      <c r="D427" s="2" t="s">
        <v>17</v>
      </c>
      <c r="E427" s="2" t="s">
        <v>52</v>
      </c>
      <c r="F427" s="2" t="s">
        <v>49</v>
      </c>
      <c r="G427" s="2" t="n">
        <v>1983</v>
      </c>
      <c r="H427" s="3" t="n">
        <v>8014.7</v>
      </c>
      <c r="I427" s="3" t="n">
        <v>8019.1</v>
      </c>
      <c r="J427" s="3" t="n">
        <v>0</v>
      </c>
      <c r="K427" s="3" t="n">
        <v>8014.7</v>
      </c>
      <c r="L427" s="4" t="n">
        <v>100</v>
      </c>
      <c r="M427" s="3" t="n">
        <v>0</v>
      </c>
      <c r="N427" s="4" t="n">
        <v>0</v>
      </c>
    </row>
    <row r="428" customFormat="false" ht="15" hidden="false" customHeight="false" outlineLevel="0" collapsed="false">
      <c r="A428" s="2" t="s">
        <v>513</v>
      </c>
      <c r="B428" s="2" t="s">
        <v>15</v>
      </c>
      <c r="C428" s="2" t="s">
        <v>22</v>
      </c>
      <c r="D428" s="2" t="s">
        <v>17</v>
      </c>
      <c r="E428" s="2" t="s">
        <v>52</v>
      </c>
      <c r="F428" s="2" t="s">
        <v>49</v>
      </c>
      <c r="G428" s="2" t="n">
        <v>1972</v>
      </c>
      <c r="H428" s="3" t="n">
        <v>7987.3</v>
      </c>
      <c r="I428" s="3" t="n">
        <v>7990.9</v>
      </c>
      <c r="J428" s="3" t="n">
        <v>0</v>
      </c>
      <c r="K428" s="3" t="n">
        <v>7987.3</v>
      </c>
      <c r="L428" s="4" t="n">
        <v>100</v>
      </c>
      <c r="M428" s="3" t="n">
        <v>0</v>
      </c>
      <c r="N428" s="4" t="n">
        <v>0</v>
      </c>
    </row>
    <row r="429" customFormat="false" ht="15" hidden="false" customHeight="false" outlineLevel="0" collapsed="false">
      <c r="A429" s="2" t="s">
        <v>514</v>
      </c>
      <c r="B429" s="2" t="s">
        <v>15</v>
      </c>
      <c r="C429" s="2" t="s">
        <v>34</v>
      </c>
      <c r="D429" s="2" t="s">
        <v>17</v>
      </c>
      <c r="E429" s="2" t="s">
        <v>52</v>
      </c>
      <c r="F429" s="2" t="s">
        <v>49</v>
      </c>
      <c r="G429" s="2" t="n">
        <v>1977</v>
      </c>
      <c r="H429" s="3" t="n">
        <v>7976.6</v>
      </c>
      <c r="I429" s="3" t="n">
        <v>7980.4</v>
      </c>
      <c r="J429" s="3" t="n">
        <v>0.6</v>
      </c>
      <c r="K429" s="3" t="n">
        <v>7960.2</v>
      </c>
      <c r="L429" s="4" t="n">
        <v>99.79439862</v>
      </c>
      <c r="M429" s="3" t="n">
        <v>16.4</v>
      </c>
      <c r="N429" s="4" t="n">
        <v>0.205601384</v>
      </c>
    </row>
    <row r="430" customFormat="false" ht="15" hidden="false" customHeight="false" outlineLevel="0" collapsed="false">
      <c r="A430" s="2" t="s">
        <v>515</v>
      </c>
      <c r="B430" s="2" t="s">
        <v>15</v>
      </c>
      <c r="C430" s="2" t="s">
        <v>34</v>
      </c>
      <c r="D430" s="2" t="s">
        <v>17</v>
      </c>
      <c r="E430" s="2" t="s">
        <v>23</v>
      </c>
      <c r="F430" s="2" t="s">
        <v>19</v>
      </c>
      <c r="G430" s="2" t="n">
        <v>1981</v>
      </c>
      <c r="H430" s="3" t="n">
        <v>7940.4</v>
      </c>
      <c r="I430" s="3" t="n">
        <v>7942.6</v>
      </c>
      <c r="J430" s="3" t="n">
        <v>0</v>
      </c>
      <c r="K430" s="3" t="n">
        <v>7116.9</v>
      </c>
      <c r="L430" s="4" t="n">
        <v>89.62898595</v>
      </c>
      <c r="M430" s="3" t="n">
        <v>823.5</v>
      </c>
      <c r="N430" s="4" t="n">
        <v>10.37101405</v>
      </c>
    </row>
    <row r="431" customFormat="false" ht="15" hidden="false" customHeight="false" outlineLevel="0" collapsed="false">
      <c r="A431" s="2" t="s">
        <v>516</v>
      </c>
      <c r="B431" s="2" t="s">
        <v>15</v>
      </c>
      <c r="C431" s="2" t="s">
        <v>22</v>
      </c>
      <c r="D431" s="2" t="s">
        <v>17</v>
      </c>
      <c r="E431" s="2" t="s">
        <v>52</v>
      </c>
      <c r="F431" s="2" t="s">
        <v>49</v>
      </c>
      <c r="G431" s="2" t="n">
        <v>2001</v>
      </c>
      <c r="H431" s="3" t="n">
        <v>7934.8</v>
      </c>
      <c r="I431" s="3" t="n">
        <v>4641.5</v>
      </c>
      <c r="J431" s="3" t="n">
        <v>3299.4</v>
      </c>
      <c r="K431" s="3" t="n">
        <v>7901.6</v>
      </c>
      <c r="L431" s="4" t="n">
        <v>99.58158996</v>
      </c>
      <c r="M431" s="3" t="n">
        <v>33.2</v>
      </c>
      <c r="N431" s="4" t="n">
        <v>0.4184100418</v>
      </c>
    </row>
    <row r="432" customFormat="false" ht="15" hidden="false" customHeight="false" outlineLevel="0" collapsed="false">
      <c r="A432" s="2" t="s">
        <v>517</v>
      </c>
      <c r="B432" s="2" t="s">
        <v>15</v>
      </c>
      <c r="C432" s="2" t="s">
        <v>518</v>
      </c>
      <c r="D432" s="2" t="s">
        <v>519</v>
      </c>
      <c r="E432" s="2" t="s">
        <v>23</v>
      </c>
      <c r="F432" s="2" t="s">
        <v>19</v>
      </c>
      <c r="G432" s="2" t="n">
        <v>2002</v>
      </c>
      <c r="H432" s="3" t="n">
        <v>7934.5</v>
      </c>
      <c r="I432" s="3" t="n">
        <v>2022.8</v>
      </c>
      <c r="J432" s="3" t="n">
        <v>5906</v>
      </c>
      <c r="K432" s="3" t="n">
        <v>723</v>
      </c>
      <c r="L432" s="4" t="n">
        <v>9.112105363</v>
      </c>
      <c r="M432" s="3" t="n">
        <v>7211.5</v>
      </c>
      <c r="N432" s="4" t="n">
        <v>90.88789464</v>
      </c>
    </row>
    <row r="433" customFormat="false" ht="15" hidden="false" customHeight="false" outlineLevel="0" collapsed="false">
      <c r="A433" s="2" t="s">
        <v>520</v>
      </c>
      <c r="B433" s="2" t="s">
        <v>15</v>
      </c>
      <c r="C433" s="2" t="s">
        <v>43</v>
      </c>
      <c r="D433" s="2" t="s">
        <v>25</v>
      </c>
      <c r="E433" s="2" t="s">
        <v>26</v>
      </c>
      <c r="F433" s="2" t="s">
        <v>19</v>
      </c>
      <c r="G433" s="2" t="n">
        <v>2016</v>
      </c>
      <c r="H433" s="3" t="n">
        <v>7921.6</v>
      </c>
      <c r="I433" s="3" t="n">
        <v>7400.3</v>
      </c>
      <c r="J433" s="3" t="n">
        <v>508.4</v>
      </c>
      <c r="K433" s="3" t="n">
        <v>7.5</v>
      </c>
      <c r="L433" s="4" t="n">
        <v>0.09467784286</v>
      </c>
      <c r="M433" s="3" t="n">
        <v>7914.1</v>
      </c>
      <c r="N433" s="4" t="n">
        <v>99.90532216</v>
      </c>
    </row>
    <row r="434" customFormat="false" ht="15" hidden="false" customHeight="false" outlineLevel="0" collapsed="false">
      <c r="A434" s="2" t="s">
        <v>521</v>
      </c>
      <c r="B434" s="2" t="s">
        <v>21</v>
      </c>
      <c r="C434" s="2" t="s">
        <v>34</v>
      </c>
      <c r="D434" s="2" t="s">
        <v>17</v>
      </c>
      <c r="E434" s="2" t="s">
        <v>456</v>
      </c>
      <c r="F434" s="2" t="s">
        <v>19</v>
      </c>
      <c r="G434" s="2" t="n">
        <v>2018</v>
      </c>
      <c r="H434" s="3" t="n">
        <v>7892.9</v>
      </c>
      <c r="I434" s="3" t="n">
        <v>7895.6</v>
      </c>
      <c r="J434" s="3" t="n">
        <v>0</v>
      </c>
      <c r="K434" s="3" t="n">
        <v>7164.5</v>
      </c>
      <c r="L434" s="4" t="n">
        <v>90.77145282</v>
      </c>
      <c r="M434" s="3" t="n">
        <v>728.4</v>
      </c>
      <c r="N434" s="4" t="n">
        <v>9.228547175</v>
      </c>
    </row>
    <row r="435" customFormat="false" ht="15" hidden="false" customHeight="false" outlineLevel="0" collapsed="false">
      <c r="A435" s="2" t="s">
        <v>522</v>
      </c>
      <c r="B435" s="2" t="s">
        <v>15</v>
      </c>
      <c r="C435" s="2" t="s">
        <v>34</v>
      </c>
      <c r="D435" s="2" t="s">
        <v>17</v>
      </c>
      <c r="E435" s="2" t="s">
        <v>52</v>
      </c>
      <c r="F435" s="2" t="s">
        <v>49</v>
      </c>
      <c r="G435" s="2" t="n">
        <v>1978</v>
      </c>
      <c r="H435" s="3" t="n">
        <v>7891.3</v>
      </c>
      <c r="I435" s="3" t="n">
        <v>7595.8</v>
      </c>
      <c r="J435" s="3" t="n">
        <v>298.7</v>
      </c>
      <c r="K435" s="3" t="n">
        <v>7890.8</v>
      </c>
      <c r="L435" s="4" t="n">
        <v>99.99366391</v>
      </c>
      <c r="M435" s="3" t="n">
        <v>0.5</v>
      </c>
      <c r="N435" s="4" t="n">
        <v>0.006336091645</v>
      </c>
    </row>
    <row r="436" customFormat="false" ht="15" hidden="false" customHeight="false" outlineLevel="0" collapsed="false">
      <c r="A436" s="2" t="s">
        <v>523</v>
      </c>
      <c r="B436" s="2" t="s">
        <v>21</v>
      </c>
      <c r="C436" s="2" t="s">
        <v>46</v>
      </c>
      <c r="D436" s="2" t="s">
        <v>47</v>
      </c>
      <c r="E436" s="2" t="s">
        <v>48</v>
      </c>
      <c r="F436" s="2" t="s">
        <v>49</v>
      </c>
      <c r="G436" s="2" t="n">
        <v>2022</v>
      </c>
      <c r="H436" s="3" t="n">
        <v>7886.9</v>
      </c>
      <c r="I436" s="3" t="n">
        <v>7880.6</v>
      </c>
      <c r="J436" s="3" t="n">
        <v>5.3</v>
      </c>
      <c r="K436" s="3" t="n">
        <v>7566</v>
      </c>
      <c r="L436" s="4" t="n">
        <v>95.93122773</v>
      </c>
      <c r="M436" s="3" t="n">
        <v>320.9</v>
      </c>
      <c r="N436" s="4" t="n">
        <v>4.068772268</v>
      </c>
    </row>
    <row r="437" customFormat="false" ht="15" hidden="false" customHeight="false" outlineLevel="0" collapsed="false">
      <c r="A437" s="2" t="s">
        <v>524</v>
      </c>
      <c r="B437" s="2" t="s">
        <v>15</v>
      </c>
      <c r="C437" s="2" t="s">
        <v>22</v>
      </c>
      <c r="D437" s="2" t="s">
        <v>17</v>
      </c>
      <c r="E437" s="2" t="s">
        <v>292</v>
      </c>
      <c r="F437" s="2" t="s">
        <v>49</v>
      </c>
      <c r="G437" s="2" t="n">
        <v>2001</v>
      </c>
      <c r="H437" s="3" t="n">
        <v>7871.9</v>
      </c>
      <c r="I437" s="3" t="n">
        <v>7152</v>
      </c>
      <c r="J437" s="3" t="n">
        <v>706.6</v>
      </c>
      <c r="K437" s="3" t="n">
        <v>7858.1</v>
      </c>
      <c r="L437" s="4" t="n">
        <v>99.82469289</v>
      </c>
      <c r="M437" s="3" t="n">
        <v>13.8</v>
      </c>
      <c r="N437" s="4" t="n">
        <v>0.175307105</v>
      </c>
    </row>
    <row r="438" customFormat="false" ht="15" hidden="false" customHeight="false" outlineLevel="0" collapsed="false">
      <c r="A438" s="2" t="s">
        <v>525</v>
      </c>
      <c r="B438" s="2" t="s">
        <v>15</v>
      </c>
      <c r="C438" s="2" t="s">
        <v>526</v>
      </c>
      <c r="D438" s="2" t="s">
        <v>25</v>
      </c>
      <c r="E438" s="2" t="s">
        <v>83</v>
      </c>
      <c r="F438" s="2" t="s">
        <v>19</v>
      </c>
      <c r="G438" s="2" t="n">
        <v>1985</v>
      </c>
      <c r="H438" s="3" t="n">
        <v>7852.2</v>
      </c>
      <c r="I438" s="3" t="n">
        <v>7854.4</v>
      </c>
      <c r="J438" s="3" t="n">
        <v>4</v>
      </c>
      <c r="K438" s="3" t="n">
        <v>7062</v>
      </c>
      <c r="L438" s="4" t="n">
        <v>89.93657828</v>
      </c>
      <c r="M438" s="3" t="n">
        <v>790.2</v>
      </c>
      <c r="N438" s="4" t="n">
        <v>10.06342172</v>
      </c>
    </row>
    <row r="439" customFormat="false" ht="15" hidden="false" customHeight="false" outlineLevel="0" collapsed="false">
      <c r="A439" s="2" t="s">
        <v>527</v>
      </c>
      <c r="B439" s="2" t="s">
        <v>79</v>
      </c>
      <c r="C439" s="2" t="s">
        <v>90</v>
      </c>
      <c r="D439" s="2" t="s">
        <v>25</v>
      </c>
      <c r="E439" s="2" t="s">
        <v>83</v>
      </c>
      <c r="F439" s="2" t="s">
        <v>49</v>
      </c>
      <c r="G439" s="2" t="n">
        <v>1982</v>
      </c>
      <c r="H439" s="3" t="n">
        <v>7838.9</v>
      </c>
      <c r="I439" s="3" t="n">
        <v>7528</v>
      </c>
      <c r="J439" s="3" t="n">
        <v>310.9</v>
      </c>
      <c r="K439" s="3" t="n">
        <v>2829.8</v>
      </c>
      <c r="L439" s="4" t="n">
        <v>36.09945273</v>
      </c>
      <c r="M439" s="3" t="n">
        <v>5009.1</v>
      </c>
      <c r="N439" s="4" t="n">
        <v>63.90054727</v>
      </c>
    </row>
    <row r="440" customFormat="false" ht="15" hidden="false" customHeight="false" outlineLevel="0" collapsed="false">
      <c r="A440" s="2" t="s">
        <v>528</v>
      </c>
      <c r="B440" s="2" t="s">
        <v>15</v>
      </c>
      <c r="C440" s="2" t="s">
        <v>34</v>
      </c>
      <c r="D440" s="2" t="s">
        <v>17</v>
      </c>
      <c r="E440" s="2" t="s">
        <v>23</v>
      </c>
      <c r="F440" s="2" t="s">
        <v>19</v>
      </c>
      <c r="G440" s="2" t="n">
        <v>2015</v>
      </c>
      <c r="H440" s="3" t="n">
        <v>7824.1</v>
      </c>
      <c r="I440" s="3" t="n">
        <v>6895.6</v>
      </c>
      <c r="J440" s="3" t="n">
        <v>928.5</v>
      </c>
      <c r="K440" s="3" t="n">
        <v>6188.5</v>
      </c>
      <c r="L440" s="4" t="n">
        <v>79.09535921</v>
      </c>
      <c r="M440" s="3" t="n">
        <v>1635.6</v>
      </c>
      <c r="N440" s="4" t="n">
        <v>20.90464079</v>
      </c>
    </row>
    <row r="441" customFormat="false" ht="15" hidden="false" customHeight="false" outlineLevel="0" collapsed="false">
      <c r="A441" s="2" t="s">
        <v>529</v>
      </c>
      <c r="B441" s="2" t="s">
        <v>15</v>
      </c>
      <c r="C441" s="2" t="s">
        <v>22</v>
      </c>
      <c r="D441" s="2" t="s">
        <v>17</v>
      </c>
      <c r="E441" s="2" t="s">
        <v>18</v>
      </c>
      <c r="F441" s="2" t="s">
        <v>19</v>
      </c>
      <c r="G441" s="2" t="n">
        <v>2008</v>
      </c>
      <c r="H441" s="3" t="n">
        <v>7817.3</v>
      </c>
      <c r="I441" s="3" t="n">
        <v>4590.4</v>
      </c>
      <c r="J441" s="3" t="n">
        <v>3227</v>
      </c>
      <c r="K441" s="3" t="n">
        <v>1655.2</v>
      </c>
      <c r="L441" s="4" t="n">
        <v>21.17355097</v>
      </c>
      <c r="M441" s="3" t="n">
        <v>6162.1</v>
      </c>
      <c r="N441" s="4" t="n">
        <v>78.82644903</v>
      </c>
    </row>
    <row r="442" customFormat="false" ht="15" hidden="false" customHeight="false" outlineLevel="0" collapsed="false">
      <c r="A442" s="2" t="s">
        <v>530</v>
      </c>
      <c r="B442" s="2" t="s">
        <v>15</v>
      </c>
      <c r="C442" s="2" t="s">
        <v>22</v>
      </c>
      <c r="D442" s="2" t="s">
        <v>17</v>
      </c>
      <c r="E442" s="2" t="s">
        <v>28</v>
      </c>
      <c r="F442" s="2" t="s">
        <v>19</v>
      </c>
      <c r="G442" s="2" t="n">
        <v>2016</v>
      </c>
      <c r="H442" s="3" t="n">
        <v>7810.5</v>
      </c>
      <c r="I442" s="3" t="n">
        <v>3575.2</v>
      </c>
      <c r="J442" s="3" t="n">
        <v>4235.2</v>
      </c>
      <c r="K442" s="3" t="n">
        <v>2342.1</v>
      </c>
      <c r="L442" s="4" t="n">
        <v>29.98655656</v>
      </c>
      <c r="M442" s="3" t="n">
        <v>5468.4</v>
      </c>
      <c r="N442" s="4" t="n">
        <v>70.01344344</v>
      </c>
    </row>
    <row r="443" customFormat="false" ht="15" hidden="false" customHeight="false" outlineLevel="0" collapsed="false">
      <c r="A443" s="2" t="s">
        <v>531</v>
      </c>
      <c r="B443" s="2" t="s">
        <v>15</v>
      </c>
      <c r="C443" s="2" t="s">
        <v>34</v>
      </c>
      <c r="D443" s="2" t="s">
        <v>17</v>
      </c>
      <c r="E443" s="2" t="s">
        <v>61</v>
      </c>
      <c r="F443" s="2" t="s">
        <v>49</v>
      </c>
      <c r="G443" s="2" t="n">
        <v>2010</v>
      </c>
      <c r="H443" s="3" t="n">
        <v>7787.8</v>
      </c>
      <c r="I443" s="3" t="n">
        <v>5988.8</v>
      </c>
      <c r="J443" s="3" t="n">
        <v>1801.6</v>
      </c>
      <c r="K443" s="3" t="n">
        <v>801</v>
      </c>
      <c r="L443" s="4" t="n">
        <v>10.28531806</v>
      </c>
      <c r="M443" s="3" t="n">
        <v>6986.8</v>
      </c>
      <c r="N443" s="4" t="n">
        <v>89.71468194</v>
      </c>
    </row>
    <row r="444" customFormat="false" ht="15" hidden="false" customHeight="false" outlineLevel="0" collapsed="false">
      <c r="A444" s="2" t="s">
        <v>532</v>
      </c>
      <c r="B444" s="2" t="s">
        <v>15</v>
      </c>
      <c r="C444" s="2" t="s">
        <v>22</v>
      </c>
      <c r="D444" s="2" t="s">
        <v>25</v>
      </c>
      <c r="E444" s="2" t="s">
        <v>26</v>
      </c>
      <c r="F444" s="2" t="s">
        <v>19</v>
      </c>
      <c r="G444" s="2" t="n">
        <v>2014</v>
      </c>
      <c r="H444" s="3" t="n">
        <v>7785.3</v>
      </c>
      <c r="I444" s="3" t="n">
        <v>2720.2</v>
      </c>
      <c r="J444" s="3" t="n">
        <v>5065.1</v>
      </c>
      <c r="K444" s="3" t="n">
        <v>69.3</v>
      </c>
      <c r="L444" s="4" t="n">
        <v>0.8901391083</v>
      </c>
      <c r="M444" s="3" t="n">
        <v>7716</v>
      </c>
      <c r="N444" s="4" t="n">
        <v>99.10986089</v>
      </c>
    </row>
    <row r="445" customFormat="false" ht="15" hidden="false" customHeight="false" outlineLevel="0" collapsed="false">
      <c r="A445" s="2" t="s">
        <v>533</v>
      </c>
      <c r="B445" s="2" t="s">
        <v>15</v>
      </c>
      <c r="C445" s="2" t="s">
        <v>148</v>
      </c>
      <c r="D445" s="2" t="s">
        <v>17</v>
      </c>
      <c r="E445" s="2" t="s">
        <v>61</v>
      </c>
      <c r="F445" s="2" t="s">
        <v>19</v>
      </c>
      <c r="G445" s="2" t="n">
        <v>2010</v>
      </c>
      <c r="H445" s="3" t="n">
        <v>7765.7</v>
      </c>
      <c r="I445" s="3" t="n">
        <v>4434.2</v>
      </c>
      <c r="J445" s="3" t="n">
        <v>3331.5</v>
      </c>
      <c r="K445" s="3" t="n">
        <v>781.1</v>
      </c>
      <c r="L445" s="4" t="n">
        <v>10.05833344</v>
      </c>
      <c r="M445" s="3" t="n">
        <v>6984.6</v>
      </c>
      <c r="N445" s="4" t="n">
        <v>89.94166656</v>
      </c>
    </row>
    <row r="446" customFormat="false" ht="15" hidden="false" customHeight="false" outlineLevel="0" collapsed="false">
      <c r="A446" s="2" t="s">
        <v>534</v>
      </c>
      <c r="B446" s="2" t="s">
        <v>15</v>
      </c>
      <c r="C446" s="2" t="s">
        <v>535</v>
      </c>
      <c r="D446" s="2" t="s">
        <v>130</v>
      </c>
      <c r="E446" s="2" t="s">
        <v>18</v>
      </c>
      <c r="F446" s="2" t="s">
        <v>19</v>
      </c>
      <c r="G446" s="2" t="n">
        <v>2006</v>
      </c>
      <c r="H446" s="3" t="n">
        <v>7738.2</v>
      </c>
      <c r="I446" s="3" t="n">
        <v>3470.6</v>
      </c>
      <c r="J446" s="3" t="n">
        <v>4267.7</v>
      </c>
      <c r="K446" s="3" t="n">
        <v>1580.4</v>
      </c>
      <c r="L446" s="4" t="n">
        <v>20.42335427</v>
      </c>
      <c r="M446" s="3" t="n">
        <v>6157.8</v>
      </c>
      <c r="N446" s="4" t="n">
        <v>79.57664573</v>
      </c>
    </row>
    <row r="447" customFormat="false" ht="15" hidden="false" customHeight="false" outlineLevel="0" collapsed="false">
      <c r="A447" s="2" t="s">
        <v>536</v>
      </c>
      <c r="B447" s="2" t="s">
        <v>15</v>
      </c>
      <c r="C447" s="2" t="s">
        <v>22</v>
      </c>
      <c r="D447" s="2" t="s">
        <v>17</v>
      </c>
      <c r="E447" s="2" t="s">
        <v>18</v>
      </c>
      <c r="F447" s="2" t="s">
        <v>19</v>
      </c>
      <c r="G447" s="2" t="n">
        <v>2000</v>
      </c>
      <c r="H447" s="3" t="n">
        <v>7729.6</v>
      </c>
      <c r="I447" s="3" t="n">
        <v>6445.6</v>
      </c>
      <c r="J447" s="3" t="n">
        <v>1287.7</v>
      </c>
      <c r="K447" s="3" t="n">
        <v>2355.3</v>
      </c>
      <c r="L447" s="4" t="n">
        <v>30.47117574</v>
      </c>
      <c r="M447" s="3" t="n">
        <v>5374.3</v>
      </c>
      <c r="N447" s="4" t="n">
        <v>69.52882426</v>
      </c>
    </row>
    <row r="448" customFormat="false" ht="15" hidden="false" customHeight="false" outlineLevel="0" collapsed="false">
      <c r="A448" s="2" t="s">
        <v>537</v>
      </c>
      <c r="B448" s="2" t="s">
        <v>15</v>
      </c>
      <c r="C448" s="2" t="s">
        <v>34</v>
      </c>
      <c r="D448" s="2" t="s">
        <v>17</v>
      </c>
      <c r="E448" s="2" t="s">
        <v>52</v>
      </c>
      <c r="F448" s="2" t="s">
        <v>49</v>
      </c>
      <c r="G448" s="2" t="n">
        <v>2009</v>
      </c>
      <c r="H448" s="3" t="n">
        <v>7713.9</v>
      </c>
      <c r="I448" s="3" t="n">
        <v>7713.9</v>
      </c>
      <c r="J448" s="3" t="n">
        <v>0</v>
      </c>
      <c r="K448" s="3" t="n">
        <v>7200.6</v>
      </c>
      <c r="L448" s="4" t="n">
        <v>93.3457784</v>
      </c>
      <c r="M448" s="3" t="n">
        <v>513.3</v>
      </c>
      <c r="N448" s="4" t="n">
        <v>6.6542216</v>
      </c>
    </row>
    <row r="449" customFormat="false" ht="15" hidden="false" customHeight="false" outlineLevel="0" collapsed="false">
      <c r="A449" s="2" t="s">
        <v>538</v>
      </c>
      <c r="B449" s="2" t="s">
        <v>15</v>
      </c>
      <c r="C449" s="2" t="s">
        <v>72</v>
      </c>
      <c r="D449" s="2" t="s">
        <v>73</v>
      </c>
      <c r="E449" s="2" t="s">
        <v>23</v>
      </c>
      <c r="F449" s="2" t="s">
        <v>19</v>
      </c>
      <c r="G449" s="2" t="n">
        <v>1999</v>
      </c>
      <c r="H449" s="3" t="n">
        <v>7689.5</v>
      </c>
      <c r="I449" s="3" t="n">
        <v>107.1</v>
      </c>
      <c r="J449" s="3" t="n">
        <v>7598.6</v>
      </c>
      <c r="K449" s="3" t="n">
        <v>0</v>
      </c>
      <c r="L449" s="4" t="n">
        <v>0</v>
      </c>
      <c r="M449" s="3" t="n">
        <v>7689.5</v>
      </c>
      <c r="N449" s="4" t="n">
        <v>100</v>
      </c>
    </row>
    <row r="450" customFormat="false" ht="15" hidden="false" customHeight="false" outlineLevel="0" collapsed="false">
      <c r="A450" s="2" t="s">
        <v>539</v>
      </c>
      <c r="B450" s="2" t="s">
        <v>15</v>
      </c>
      <c r="C450" s="2" t="s">
        <v>22</v>
      </c>
      <c r="D450" s="2" t="s">
        <v>17</v>
      </c>
      <c r="E450" s="2" t="s">
        <v>52</v>
      </c>
      <c r="F450" s="2" t="s">
        <v>49</v>
      </c>
      <c r="G450" s="2" t="n">
        <v>1991</v>
      </c>
      <c r="H450" s="3" t="n">
        <v>7673.1</v>
      </c>
      <c r="I450" s="3" t="n">
        <v>7673.1</v>
      </c>
      <c r="J450" s="3" t="n">
        <v>0</v>
      </c>
      <c r="K450" s="3" t="n">
        <v>7659.2</v>
      </c>
      <c r="L450" s="4" t="n">
        <v>99.81884766</v>
      </c>
      <c r="M450" s="3" t="n">
        <v>13.9</v>
      </c>
      <c r="N450" s="4" t="n">
        <v>0.1811523374</v>
      </c>
    </row>
    <row r="451" customFormat="false" ht="15" hidden="false" customHeight="false" outlineLevel="0" collapsed="false">
      <c r="A451" s="2" t="s">
        <v>540</v>
      </c>
      <c r="B451" s="2" t="s">
        <v>15</v>
      </c>
      <c r="C451" s="2" t="s">
        <v>22</v>
      </c>
      <c r="D451" s="2" t="s">
        <v>25</v>
      </c>
      <c r="E451" s="2" t="s">
        <v>26</v>
      </c>
      <c r="F451" s="2" t="s">
        <v>19</v>
      </c>
      <c r="G451" s="2" t="n">
        <v>2004</v>
      </c>
      <c r="H451" s="3" t="n">
        <v>7661.6</v>
      </c>
      <c r="I451" s="3" t="n">
        <v>1713.9</v>
      </c>
      <c r="J451" s="3" t="n">
        <v>5947.7</v>
      </c>
      <c r="K451" s="3" t="n">
        <v>560.9</v>
      </c>
      <c r="L451" s="4" t="n">
        <v>7.320925133</v>
      </c>
      <c r="M451" s="3" t="n">
        <v>7100.7</v>
      </c>
      <c r="N451" s="4" t="n">
        <v>92.67907487</v>
      </c>
    </row>
    <row r="452" customFormat="false" ht="15" hidden="false" customHeight="false" outlineLevel="0" collapsed="false">
      <c r="A452" s="2" t="s">
        <v>541</v>
      </c>
      <c r="B452" s="2" t="s">
        <v>15</v>
      </c>
      <c r="C452" s="2" t="s">
        <v>43</v>
      </c>
      <c r="D452" s="2" t="s">
        <v>25</v>
      </c>
      <c r="E452" s="2" t="s">
        <v>26</v>
      </c>
      <c r="F452" s="2" t="s">
        <v>19</v>
      </c>
      <c r="G452" s="2" t="n">
        <v>2017</v>
      </c>
      <c r="H452" s="3" t="n">
        <v>7645.2</v>
      </c>
      <c r="I452" s="3" t="n">
        <v>4203.6</v>
      </c>
      <c r="J452" s="3" t="n">
        <v>3448.5</v>
      </c>
      <c r="K452" s="3" t="n">
        <v>1809.6</v>
      </c>
      <c r="L452" s="4" t="n">
        <v>23.66975357</v>
      </c>
      <c r="M452" s="3" t="n">
        <v>5835.6</v>
      </c>
      <c r="N452" s="4" t="n">
        <v>76.33024643</v>
      </c>
    </row>
    <row r="453" customFormat="false" ht="15" hidden="false" customHeight="false" outlineLevel="0" collapsed="false">
      <c r="A453" s="2" t="s">
        <v>542</v>
      </c>
      <c r="B453" s="2" t="s">
        <v>21</v>
      </c>
      <c r="C453" s="2" t="s">
        <v>16</v>
      </c>
      <c r="D453" s="2" t="s">
        <v>17</v>
      </c>
      <c r="E453" s="2" t="s">
        <v>23</v>
      </c>
      <c r="F453" s="2" t="s">
        <v>19</v>
      </c>
      <c r="G453" s="2" t="n">
        <v>2000</v>
      </c>
      <c r="H453" s="3" t="n">
        <v>7628.1</v>
      </c>
      <c r="I453" s="3" t="n">
        <v>6657.6</v>
      </c>
      <c r="J453" s="3" t="n">
        <v>974.8</v>
      </c>
      <c r="K453" s="3" t="n">
        <v>3569</v>
      </c>
      <c r="L453" s="4" t="n">
        <v>46.78753556</v>
      </c>
      <c r="M453" s="3" t="n">
        <v>4059.1</v>
      </c>
      <c r="N453" s="4" t="n">
        <v>53.21246444</v>
      </c>
    </row>
    <row r="454" customFormat="false" ht="15" hidden="false" customHeight="false" outlineLevel="0" collapsed="false">
      <c r="A454" s="2" t="s">
        <v>543</v>
      </c>
      <c r="B454" s="2" t="s">
        <v>15</v>
      </c>
      <c r="C454" s="2" t="s">
        <v>167</v>
      </c>
      <c r="D454" s="2" t="s">
        <v>168</v>
      </c>
      <c r="E454" s="2" t="s">
        <v>83</v>
      </c>
      <c r="F454" s="2" t="s">
        <v>19</v>
      </c>
      <c r="G454" s="2" t="n">
        <v>2003</v>
      </c>
      <c r="H454" s="3" t="n">
        <v>7618.8</v>
      </c>
      <c r="I454" s="3" t="n">
        <v>5257.8</v>
      </c>
      <c r="J454" s="3" t="n">
        <v>2361</v>
      </c>
      <c r="K454" s="3" t="n">
        <v>2908.3</v>
      </c>
      <c r="L454" s="4" t="n">
        <v>38.17267811</v>
      </c>
      <c r="M454" s="3" t="n">
        <v>4710.5</v>
      </c>
      <c r="N454" s="4" t="n">
        <v>61.82732189</v>
      </c>
    </row>
    <row r="455" customFormat="false" ht="15" hidden="false" customHeight="false" outlineLevel="0" collapsed="false">
      <c r="A455" s="2" t="s">
        <v>544</v>
      </c>
      <c r="B455" s="2" t="s">
        <v>15</v>
      </c>
      <c r="C455" s="2" t="s">
        <v>22</v>
      </c>
      <c r="D455" s="2" t="s">
        <v>17</v>
      </c>
      <c r="E455" s="2" t="s">
        <v>292</v>
      </c>
      <c r="F455" s="2" t="s">
        <v>49</v>
      </c>
      <c r="G455" s="2" t="n">
        <v>2000</v>
      </c>
      <c r="H455" s="3" t="n">
        <v>7612.3</v>
      </c>
      <c r="I455" s="3" t="n">
        <v>7614.9</v>
      </c>
      <c r="J455" s="3" t="n">
        <v>0</v>
      </c>
      <c r="K455" s="3" t="n">
        <v>6849.1</v>
      </c>
      <c r="L455" s="4" t="n">
        <v>89.97412083</v>
      </c>
      <c r="M455" s="3" t="n">
        <v>763.2</v>
      </c>
      <c r="N455" s="4" t="n">
        <v>10.02587917</v>
      </c>
    </row>
    <row r="456" customFormat="false" ht="15" hidden="false" customHeight="false" outlineLevel="0" collapsed="false">
      <c r="A456" s="2" t="s">
        <v>545</v>
      </c>
      <c r="B456" s="2" t="s">
        <v>21</v>
      </c>
      <c r="C456" s="2" t="s">
        <v>22</v>
      </c>
      <c r="D456" s="2" t="s">
        <v>17</v>
      </c>
      <c r="E456" s="2" t="s">
        <v>28</v>
      </c>
      <c r="F456" s="2" t="s">
        <v>19</v>
      </c>
      <c r="G456" s="2" t="n">
        <v>2016</v>
      </c>
      <c r="H456" s="3" t="n">
        <v>7608.2</v>
      </c>
      <c r="I456" s="3" t="n">
        <v>3801.5</v>
      </c>
      <c r="J456" s="3" t="n">
        <v>3806.7</v>
      </c>
      <c r="K456" s="3" t="n">
        <v>2191.8</v>
      </c>
      <c r="L456" s="4" t="n">
        <v>28.80839095</v>
      </c>
      <c r="M456" s="3" t="n">
        <v>5416.4</v>
      </c>
      <c r="N456" s="4" t="n">
        <v>71.19160905</v>
      </c>
    </row>
    <row r="457" customFormat="false" ht="15" hidden="false" customHeight="false" outlineLevel="0" collapsed="false">
      <c r="A457" s="2" t="s">
        <v>546</v>
      </c>
      <c r="B457" s="2" t="s">
        <v>21</v>
      </c>
      <c r="C457" s="2" t="s">
        <v>34</v>
      </c>
      <c r="D457" s="2" t="s">
        <v>17</v>
      </c>
      <c r="E457" s="2" t="s">
        <v>23</v>
      </c>
      <c r="F457" s="2" t="s">
        <v>19</v>
      </c>
      <c r="G457" s="2" t="n">
        <v>2012</v>
      </c>
      <c r="H457" s="3" t="n">
        <v>7596.7</v>
      </c>
      <c r="I457" s="3" t="n">
        <v>3575.7</v>
      </c>
      <c r="J457" s="3" t="n">
        <v>4021</v>
      </c>
      <c r="K457" s="3" t="n">
        <v>2786.1</v>
      </c>
      <c r="L457" s="4" t="n">
        <v>36.67513526</v>
      </c>
      <c r="M457" s="3" t="n">
        <v>4810.6</v>
      </c>
      <c r="N457" s="4" t="n">
        <v>63.32486474</v>
      </c>
    </row>
    <row r="458" customFormat="false" ht="15" hidden="false" customHeight="false" outlineLevel="0" collapsed="false">
      <c r="A458" s="2" t="s">
        <v>547</v>
      </c>
      <c r="B458" s="2" t="s">
        <v>15</v>
      </c>
      <c r="C458" s="2" t="s">
        <v>22</v>
      </c>
      <c r="D458" s="2" t="s">
        <v>17</v>
      </c>
      <c r="E458" s="2" t="s">
        <v>18</v>
      </c>
      <c r="F458" s="2" t="s">
        <v>19</v>
      </c>
      <c r="G458" s="2" t="n">
        <v>2007</v>
      </c>
      <c r="H458" s="3" t="n">
        <v>7589.1</v>
      </c>
      <c r="I458" s="3" t="n">
        <v>6273.4</v>
      </c>
      <c r="J458" s="3" t="n">
        <v>1315.7</v>
      </c>
      <c r="K458" s="3" t="n">
        <v>5418.2</v>
      </c>
      <c r="L458" s="4" t="n">
        <v>71.39450001</v>
      </c>
      <c r="M458" s="3" t="n">
        <v>2170.9</v>
      </c>
      <c r="N458" s="4" t="n">
        <v>28.60549999</v>
      </c>
    </row>
    <row r="459" customFormat="false" ht="15" hidden="false" customHeight="false" outlineLevel="0" collapsed="false">
      <c r="A459" s="2" t="s">
        <v>548</v>
      </c>
      <c r="B459" s="2" t="s">
        <v>21</v>
      </c>
      <c r="C459" s="2" t="s">
        <v>549</v>
      </c>
      <c r="D459" s="2" t="s">
        <v>17</v>
      </c>
      <c r="E459" s="2" t="s">
        <v>52</v>
      </c>
      <c r="F459" s="2" t="s">
        <v>19</v>
      </c>
      <c r="G459" s="2" t="n">
        <v>2017</v>
      </c>
      <c r="H459" s="3" t="n">
        <v>7552.8</v>
      </c>
      <c r="I459" s="3" t="n">
        <v>5418.1</v>
      </c>
      <c r="J459" s="3" t="n">
        <v>2144.1</v>
      </c>
      <c r="K459" s="3" t="n">
        <v>4710</v>
      </c>
      <c r="L459" s="4" t="n">
        <v>62.36097871</v>
      </c>
      <c r="M459" s="3" t="n">
        <v>2842.8</v>
      </c>
      <c r="N459" s="4" t="n">
        <v>37.63902129</v>
      </c>
    </row>
    <row r="460" customFormat="false" ht="15" hidden="false" customHeight="false" outlineLevel="0" collapsed="false">
      <c r="A460" s="2" t="s">
        <v>550</v>
      </c>
      <c r="B460" s="2" t="s">
        <v>15</v>
      </c>
      <c r="C460" s="2" t="s">
        <v>72</v>
      </c>
      <c r="D460" s="2" t="s">
        <v>551</v>
      </c>
      <c r="E460" s="2" t="s">
        <v>18</v>
      </c>
      <c r="F460" s="2" t="s">
        <v>19</v>
      </c>
      <c r="G460" s="2" t="n">
        <v>2014</v>
      </c>
      <c r="H460" s="3" t="n">
        <v>7550.3</v>
      </c>
      <c r="I460" s="3" t="n">
        <v>6212.4</v>
      </c>
      <c r="J460" s="3" t="n">
        <v>1334.7</v>
      </c>
      <c r="K460" s="3" t="n">
        <v>1537.2</v>
      </c>
      <c r="L460" s="4" t="n">
        <v>20.35945592</v>
      </c>
      <c r="M460" s="3" t="n">
        <v>6013.1</v>
      </c>
      <c r="N460" s="4" t="n">
        <v>79.64054408</v>
      </c>
    </row>
    <row r="461" customFormat="false" ht="15" hidden="false" customHeight="false" outlineLevel="0" collapsed="false">
      <c r="A461" s="2" t="s">
        <v>552</v>
      </c>
      <c r="B461" s="2" t="s">
        <v>21</v>
      </c>
      <c r="C461" s="2" t="s">
        <v>16</v>
      </c>
      <c r="D461" s="2" t="s">
        <v>258</v>
      </c>
      <c r="E461" s="2" t="s">
        <v>23</v>
      </c>
      <c r="F461" s="2" t="s">
        <v>19</v>
      </c>
      <c r="G461" s="2" t="n">
        <v>1981</v>
      </c>
      <c r="H461" s="3" t="n">
        <v>7543.1</v>
      </c>
      <c r="I461" s="3" t="n">
        <v>7093.1</v>
      </c>
      <c r="J461" s="3" t="n">
        <v>450</v>
      </c>
      <c r="K461" s="3" t="n">
        <v>6268.7</v>
      </c>
      <c r="L461" s="4" t="n">
        <v>83.10508942</v>
      </c>
      <c r="M461" s="3" t="n">
        <v>1274.4</v>
      </c>
      <c r="N461" s="4" t="n">
        <v>16.89491058</v>
      </c>
    </row>
    <row r="462" customFormat="false" ht="15" hidden="false" customHeight="false" outlineLevel="0" collapsed="false">
      <c r="A462" s="2" t="s">
        <v>553</v>
      </c>
      <c r="B462" s="2" t="s">
        <v>15</v>
      </c>
      <c r="C462" s="2" t="s">
        <v>16</v>
      </c>
      <c r="D462" s="2" t="s">
        <v>17</v>
      </c>
      <c r="E462" s="2" t="s">
        <v>52</v>
      </c>
      <c r="F462" s="2" t="s">
        <v>19</v>
      </c>
      <c r="G462" s="2" t="n">
        <v>1980</v>
      </c>
      <c r="H462" s="3" t="n">
        <v>7503.2</v>
      </c>
      <c r="I462" s="3" t="n">
        <v>5958.2</v>
      </c>
      <c r="J462" s="3" t="n">
        <v>1568.1</v>
      </c>
      <c r="K462" s="3" t="n">
        <v>6592.7</v>
      </c>
      <c r="L462" s="4" t="n">
        <v>87.86517752</v>
      </c>
      <c r="M462" s="3" t="n">
        <v>910.5</v>
      </c>
      <c r="N462" s="4" t="n">
        <v>12.13482248</v>
      </c>
    </row>
    <row r="463" customFormat="false" ht="15" hidden="false" customHeight="false" outlineLevel="0" collapsed="false">
      <c r="A463" s="2" t="s">
        <v>554</v>
      </c>
      <c r="B463" s="2" t="s">
        <v>15</v>
      </c>
      <c r="C463" s="2" t="s">
        <v>46</v>
      </c>
      <c r="D463" s="2" t="s">
        <v>47</v>
      </c>
      <c r="E463" s="2" t="s">
        <v>48</v>
      </c>
      <c r="F463" s="2" t="s">
        <v>49</v>
      </c>
      <c r="G463" s="2" t="n">
        <v>2020</v>
      </c>
      <c r="H463" s="3" t="n">
        <v>7486.2</v>
      </c>
      <c r="I463" s="3" t="n">
        <v>7178.8</v>
      </c>
      <c r="J463" s="3" t="n">
        <v>328.1</v>
      </c>
      <c r="K463" s="3" t="n">
        <v>7290.2</v>
      </c>
      <c r="L463" s="4" t="n">
        <v>97.38184927</v>
      </c>
      <c r="M463" s="3" t="n">
        <v>196</v>
      </c>
      <c r="N463" s="4" t="n">
        <v>2.618150731</v>
      </c>
    </row>
    <row r="464" customFormat="false" ht="15" hidden="false" customHeight="false" outlineLevel="0" collapsed="false">
      <c r="A464" s="2" t="s">
        <v>555</v>
      </c>
      <c r="B464" s="2" t="s">
        <v>15</v>
      </c>
      <c r="C464" s="2" t="s">
        <v>22</v>
      </c>
      <c r="D464" s="2" t="s">
        <v>17</v>
      </c>
      <c r="E464" s="2" t="s">
        <v>58</v>
      </c>
      <c r="F464" s="2" t="s">
        <v>19</v>
      </c>
      <c r="G464" s="2" t="n">
        <v>2017</v>
      </c>
      <c r="H464" s="3" t="n">
        <v>7485.1</v>
      </c>
      <c r="I464" s="3" t="n">
        <v>6757.7</v>
      </c>
      <c r="J464" s="3" t="n">
        <v>735.7</v>
      </c>
      <c r="K464" s="3" t="n">
        <v>6205.8</v>
      </c>
      <c r="L464" s="4" t="n">
        <v>82.90871197</v>
      </c>
      <c r="M464" s="3" t="n">
        <v>1279.3</v>
      </c>
      <c r="N464" s="4" t="n">
        <v>17.09128803</v>
      </c>
    </row>
    <row r="465" customFormat="false" ht="15" hidden="false" customHeight="false" outlineLevel="0" collapsed="false">
      <c r="A465" s="2" t="s">
        <v>556</v>
      </c>
      <c r="B465" s="2" t="s">
        <v>21</v>
      </c>
      <c r="C465" s="2" t="s">
        <v>167</v>
      </c>
      <c r="D465" s="2" t="s">
        <v>168</v>
      </c>
      <c r="E465" s="2" t="s">
        <v>169</v>
      </c>
      <c r="F465" s="2" t="s">
        <v>19</v>
      </c>
      <c r="G465" s="2" t="n">
        <v>2021</v>
      </c>
      <c r="H465" s="3" t="n">
        <v>7467.3</v>
      </c>
      <c r="I465" s="3" t="n">
        <v>7464.6</v>
      </c>
      <c r="J465" s="3" t="n">
        <v>26</v>
      </c>
      <c r="K465" s="3" t="n">
        <v>1330.8</v>
      </c>
      <c r="L465" s="4" t="n">
        <v>17.82170262</v>
      </c>
      <c r="M465" s="3" t="n">
        <v>6136.5</v>
      </c>
      <c r="N465" s="4" t="n">
        <v>82.17829738</v>
      </c>
    </row>
    <row r="466" customFormat="false" ht="15" hidden="false" customHeight="false" outlineLevel="0" collapsed="false">
      <c r="A466" s="2" t="s">
        <v>557</v>
      </c>
      <c r="B466" s="2" t="s">
        <v>15</v>
      </c>
      <c r="C466" s="2" t="s">
        <v>22</v>
      </c>
      <c r="D466" s="2" t="s">
        <v>17</v>
      </c>
      <c r="E466" s="2" t="s">
        <v>23</v>
      </c>
      <c r="F466" s="2" t="s">
        <v>49</v>
      </c>
      <c r="G466" s="2" t="n">
        <v>2014</v>
      </c>
      <c r="H466" s="3" t="n">
        <v>7453.2</v>
      </c>
      <c r="I466" s="3" t="n">
        <v>2524.9</v>
      </c>
      <c r="J466" s="3" t="n">
        <v>4942.4</v>
      </c>
      <c r="K466" s="3" t="n">
        <v>6424.3</v>
      </c>
      <c r="L466" s="4" t="n">
        <v>86.19519133</v>
      </c>
      <c r="M466" s="3" t="n">
        <v>1028.9</v>
      </c>
      <c r="N466" s="4" t="n">
        <v>13.80480867</v>
      </c>
    </row>
    <row r="467" customFormat="false" ht="15" hidden="false" customHeight="false" outlineLevel="0" collapsed="false">
      <c r="A467" s="2" t="s">
        <v>558</v>
      </c>
      <c r="B467" s="2" t="s">
        <v>15</v>
      </c>
      <c r="C467" s="2" t="s">
        <v>22</v>
      </c>
      <c r="D467" s="2" t="s">
        <v>17</v>
      </c>
      <c r="E467" s="2" t="s">
        <v>99</v>
      </c>
      <c r="F467" s="2" t="s">
        <v>19</v>
      </c>
      <c r="G467" s="2" t="n">
        <v>1955</v>
      </c>
      <c r="H467" s="3" t="n">
        <v>7450.6</v>
      </c>
      <c r="I467" s="3" t="n">
        <v>6491.8</v>
      </c>
      <c r="J467" s="3" t="n">
        <v>961.4</v>
      </c>
      <c r="K467" s="3" t="n">
        <v>5866.4</v>
      </c>
      <c r="L467" s="4" t="n">
        <v>78.7372829</v>
      </c>
      <c r="M467" s="3" t="n">
        <v>1584.2</v>
      </c>
      <c r="N467" s="4" t="n">
        <v>21.2627171</v>
      </c>
    </row>
    <row r="468" customFormat="false" ht="15" hidden="false" customHeight="false" outlineLevel="0" collapsed="false">
      <c r="A468" s="2" t="s">
        <v>559</v>
      </c>
      <c r="B468" s="2" t="s">
        <v>15</v>
      </c>
      <c r="C468" s="2" t="s">
        <v>22</v>
      </c>
      <c r="D468" s="2" t="s">
        <v>17</v>
      </c>
      <c r="E468" s="2" t="s">
        <v>18</v>
      </c>
      <c r="F468" s="2" t="s">
        <v>19</v>
      </c>
      <c r="G468" s="2" t="n">
        <v>2007</v>
      </c>
      <c r="H468" s="3" t="n">
        <v>7431.9</v>
      </c>
      <c r="I468" s="3" t="n">
        <v>6391.9</v>
      </c>
      <c r="J468" s="3" t="n">
        <v>1058.7</v>
      </c>
      <c r="K468" s="3" t="n">
        <v>528.2</v>
      </c>
      <c r="L468" s="4" t="n">
        <v>7.107200043</v>
      </c>
      <c r="M468" s="3" t="n">
        <v>6903.7</v>
      </c>
      <c r="N468" s="4" t="n">
        <v>92.89279996</v>
      </c>
    </row>
    <row r="469" customFormat="false" ht="15" hidden="false" customHeight="false" outlineLevel="0" collapsed="false">
      <c r="A469" s="2" t="s">
        <v>560</v>
      </c>
      <c r="B469" s="2" t="s">
        <v>15</v>
      </c>
      <c r="C469" s="2" t="s">
        <v>22</v>
      </c>
      <c r="D469" s="2" t="s">
        <v>17</v>
      </c>
      <c r="E469" s="2" t="s">
        <v>99</v>
      </c>
      <c r="F469" s="2" t="s">
        <v>19</v>
      </c>
      <c r="G469" s="2" t="n">
        <v>2005</v>
      </c>
      <c r="H469" s="3" t="n">
        <v>7423.5</v>
      </c>
      <c r="I469" s="3" t="n">
        <v>7117.2</v>
      </c>
      <c r="J469" s="3" t="n">
        <v>319.9</v>
      </c>
      <c r="K469" s="3" t="n">
        <v>6510.5</v>
      </c>
      <c r="L469" s="4" t="n">
        <v>87.7012191</v>
      </c>
      <c r="M469" s="3" t="n">
        <v>913</v>
      </c>
      <c r="N469" s="4" t="n">
        <v>12.2987809</v>
      </c>
    </row>
    <row r="470" customFormat="false" ht="15" hidden="false" customHeight="false" outlineLevel="0" collapsed="false">
      <c r="A470" s="2" t="s">
        <v>561</v>
      </c>
      <c r="B470" s="2" t="s">
        <v>15</v>
      </c>
      <c r="C470" s="2" t="s">
        <v>167</v>
      </c>
      <c r="D470" s="2" t="s">
        <v>168</v>
      </c>
      <c r="E470" s="2" t="s">
        <v>169</v>
      </c>
      <c r="F470" s="2" t="s">
        <v>19</v>
      </c>
      <c r="G470" s="2" t="n">
        <v>2009</v>
      </c>
      <c r="H470" s="3" t="n">
        <v>7416.8</v>
      </c>
      <c r="I470" s="3" t="n">
        <v>4668.1</v>
      </c>
      <c r="J470" s="3" t="n">
        <v>2767</v>
      </c>
      <c r="K470" s="3" t="n">
        <v>4913.6</v>
      </c>
      <c r="L470" s="4" t="n">
        <v>66.24959551</v>
      </c>
      <c r="M470" s="3" t="n">
        <v>2503.2</v>
      </c>
      <c r="N470" s="4" t="n">
        <v>33.75040449</v>
      </c>
    </row>
    <row r="471" customFormat="false" ht="15" hidden="false" customHeight="false" outlineLevel="0" collapsed="false">
      <c r="A471" s="2" t="s">
        <v>562</v>
      </c>
      <c r="B471" s="2" t="s">
        <v>15</v>
      </c>
      <c r="C471" s="2" t="s">
        <v>223</v>
      </c>
      <c r="D471" s="2" t="s">
        <v>25</v>
      </c>
      <c r="E471" s="2" t="s">
        <v>18</v>
      </c>
      <c r="F471" s="2" t="s">
        <v>19</v>
      </c>
      <c r="G471" s="2" t="n">
        <v>2017</v>
      </c>
      <c r="H471" s="3" t="n">
        <v>7405.6</v>
      </c>
      <c r="I471" s="3" t="n">
        <v>6405.3</v>
      </c>
      <c r="J471" s="3" t="n">
        <v>1014.5</v>
      </c>
      <c r="K471" s="3" t="n">
        <v>639.2</v>
      </c>
      <c r="L471" s="4" t="n">
        <v>8.631306039</v>
      </c>
      <c r="M471" s="3" t="n">
        <v>6766.4</v>
      </c>
      <c r="N471" s="4" t="n">
        <v>91.36869396</v>
      </c>
    </row>
    <row r="472" customFormat="false" ht="15" hidden="false" customHeight="false" outlineLevel="0" collapsed="false">
      <c r="A472" s="2" t="s">
        <v>563</v>
      </c>
      <c r="B472" s="2" t="s">
        <v>21</v>
      </c>
      <c r="C472" s="2" t="s">
        <v>167</v>
      </c>
      <c r="D472" s="2" t="s">
        <v>168</v>
      </c>
      <c r="E472" s="2" t="s">
        <v>169</v>
      </c>
      <c r="F472" s="2" t="s">
        <v>49</v>
      </c>
      <c r="G472" s="2" t="n">
        <v>2013</v>
      </c>
      <c r="H472" s="3" t="n">
        <v>7388.4</v>
      </c>
      <c r="I472" s="3" t="n">
        <v>3471.7</v>
      </c>
      <c r="J472" s="3" t="n">
        <v>3933.9</v>
      </c>
      <c r="K472" s="3" t="n">
        <v>2317.8</v>
      </c>
      <c r="L472" s="4" t="n">
        <v>31.37079747</v>
      </c>
      <c r="M472" s="3" t="n">
        <v>5070.6</v>
      </c>
      <c r="N472" s="4" t="n">
        <v>68.62920253</v>
      </c>
    </row>
    <row r="473" customFormat="false" ht="15" hidden="false" customHeight="false" outlineLevel="0" collapsed="false">
      <c r="A473" s="2" t="s">
        <v>564</v>
      </c>
      <c r="B473" s="2" t="s">
        <v>15</v>
      </c>
      <c r="C473" s="2" t="s">
        <v>167</v>
      </c>
      <c r="D473" s="2" t="s">
        <v>168</v>
      </c>
      <c r="E473" s="2" t="s">
        <v>83</v>
      </c>
      <c r="F473" s="2" t="s">
        <v>19</v>
      </c>
      <c r="G473" s="2" t="n">
        <v>2015</v>
      </c>
      <c r="H473" s="3" t="n">
        <v>7387.8</v>
      </c>
      <c r="I473" s="3" t="n">
        <v>2807.5</v>
      </c>
      <c r="J473" s="3" t="n">
        <v>4581</v>
      </c>
      <c r="K473" s="3" t="n">
        <v>359.7</v>
      </c>
      <c r="L473" s="4" t="n">
        <v>4.868837814</v>
      </c>
      <c r="M473" s="3" t="n">
        <v>7028.1</v>
      </c>
      <c r="N473" s="4" t="n">
        <v>95.13116219</v>
      </c>
    </row>
    <row r="474" customFormat="false" ht="15" hidden="false" customHeight="false" outlineLevel="0" collapsed="false">
      <c r="A474" s="2" t="s">
        <v>565</v>
      </c>
      <c r="B474" s="2" t="s">
        <v>15</v>
      </c>
      <c r="C474" s="2" t="s">
        <v>223</v>
      </c>
      <c r="D474" s="2" t="s">
        <v>25</v>
      </c>
      <c r="E474" s="2" t="s">
        <v>18</v>
      </c>
      <c r="F474" s="2" t="s">
        <v>19</v>
      </c>
      <c r="G474" s="2" t="n">
        <v>2018</v>
      </c>
      <c r="H474" s="3" t="n">
        <v>7377.9</v>
      </c>
      <c r="I474" s="3" t="n">
        <v>4274.5</v>
      </c>
      <c r="J474" s="3" t="n">
        <v>3113.3</v>
      </c>
      <c r="K474" s="3" t="n">
        <v>716.5</v>
      </c>
      <c r="L474" s="4" t="n">
        <v>9.711435503</v>
      </c>
      <c r="M474" s="3" t="n">
        <v>6661.4</v>
      </c>
      <c r="N474" s="4" t="n">
        <v>90.2885645</v>
      </c>
    </row>
    <row r="475" customFormat="false" ht="15" hidden="false" customHeight="false" outlineLevel="0" collapsed="false">
      <c r="A475" s="2" t="s">
        <v>566</v>
      </c>
      <c r="B475" s="2" t="s">
        <v>15</v>
      </c>
      <c r="C475" s="2" t="s">
        <v>34</v>
      </c>
      <c r="D475" s="2" t="s">
        <v>17</v>
      </c>
      <c r="E475" s="2" t="s">
        <v>23</v>
      </c>
      <c r="F475" s="2" t="s">
        <v>19</v>
      </c>
      <c r="G475" s="2" t="n">
        <v>2012</v>
      </c>
      <c r="H475" s="3" t="n">
        <v>7352.6</v>
      </c>
      <c r="I475" s="3" t="n">
        <v>3894</v>
      </c>
      <c r="J475" s="3" t="n">
        <v>3483.8</v>
      </c>
      <c r="K475" s="3" t="n">
        <v>6069.3</v>
      </c>
      <c r="L475" s="4" t="n">
        <v>82.54631015</v>
      </c>
      <c r="M475" s="3" t="n">
        <v>1283.3</v>
      </c>
      <c r="N475" s="4" t="n">
        <v>17.45368985</v>
      </c>
    </row>
    <row r="476" customFormat="false" ht="15" hidden="false" customHeight="false" outlineLevel="0" collapsed="false">
      <c r="A476" s="2" t="s">
        <v>567</v>
      </c>
      <c r="B476" s="2" t="s">
        <v>79</v>
      </c>
      <c r="C476" s="2" t="s">
        <v>22</v>
      </c>
      <c r="D476" s="2" t="s">
        <v>17</v>
      </c>
      <c r="E476" s="2" t="s">
        <v>18</v>
      </c>
      <c r="F476" s="2" t="s">
        <v>49</v>
      </c>
      <c r="G476" s="2" t="n">
        <v>2009</v>
      </c>
      <c r="H476" s="3" t="n">
        <v>7347.9</v>
      </c>
      <c r="I476" s="3" t="n">
        <v>6711.8</v>
      </c>
      <c r="J476" s="3" t="n">
        <v>643.7</v>
      </c>
      <c r="K476" s="3" t="n">
        <v>114.9</v>
      </c>
      <c r="L476" s="4" t="n">
        <v>1.563712081</v>
      </c>
      <c r="M476" s="3" t="n">
        <v>7233</v>
      </c>
      <c r="N476" s="4" t="n">
        <v>98.43628792</v>
      </c>
    </row>
    <row r="477" customFormat="false" ht="15" hidden="false" customHeight="false" outlineLevel="0" collapsed="false">
      <c r="A477" s="2" t="s">
        <v>568</v>
      </c>
      <c r="B477" s="2" t="s">
        <v>15</v>
      </c>
      <c r="C477" s="2" t="s">
        <v>22</v>
      </c>
      <c r="D477" s="2" t="s">
        <v>17</v>
      </c>
      <c r="E477" s="2" t="s">
        <v>99</v>
      </c>
      <c r="F477" s="2" t="s">
        <v>19</v>
      </c>
      <c r="G477" s="2" t="n">
        <v>2012</v>
      </c>
      <c r="H477" s="3" t="n">
        <v>7337.5</v>
      </c>
      <c r="I477" s="3" t="n">
        <v>3928</v>
      </c>
      <c r="J477" s="3" t="n">
        <v>3422.3</v>
      </c>
      <c r="K477" s="3" t="n">
        <v>5340.9</v>
      </c>
      <c r="L477" s="4" t="n">
        <v>72.7890971</v>
      </c>
      <c r="M477" s="3" t="n">
        <v>1996.6</v>
      </c>
      <c r="N477" s="4" t="n">
        <v>27.2109029</v>
      </c>
    </row>
    <row r="478" customFormat="false" ht="15" hidden="false" customHeight="false" outlineLevel="0" collapsed="false">
      <c r="A478" s="2" t="s">
        <v>569</v>
      </c>
      <c r="B478" s="2" t="s">
        <v>21</v>
      </c>
      <c r="C478" s="2" t="s">
        <v>570</v>
      </c>
      <c r="D478" s="2" t="s">
        <v>17</v>
      </c>
      <c r="E478" s="2" t="s">
        <v>23</v>
      </c>
      <c r="F478" s="2" t="s">
        <v>19</v>
      </c>
      <c r="G478" s="2" t="n">
        <v>2006</v>
      </c>
      <c r="H478" s="3" t="n">
        <v>7335.2</v>
      </c>
      <c r="I478" s="3" t="n">
        <v>6735.6</v>
      </c>
      <c r="J478" s="3" t="n">
        <v>602</v>
      </c>
      <c r="K478" s="3" t="n">
        <v>1341.8</v>
      </c>
      <c r="L478" s="4" t="n">
        <v>18.29261642</v>
      </c>
      <c r="M478" s="3" t="n">
        <v>5993.4</v>
      </c>
      <c r="N478" s="4" t="n">
        <v>81.70738358</v>
      </c>
    </row>
    <row r="479" customFormat="false" ht="15" hidden="false" customHeight="false" outlineLevel="0" collapsed="false">
      <c r="A479" s="2" t="s">
        <v>571</v>
      </c>
      <c r="B479" s="2" t="s">
        <v>15</v>
      </c>
      <c r="C479" s="2" t="s">
        <v>22</v>
      </c>
      <c r="D479" s="2" t="s">
        <v>17</v>
      </c>
      <c r="E479" s="2" t="s">
        <v>292</v>
      </c>
      <c r="F479" s="2" t="s">
        <v>49</v>
      </c>
      <c r="G479" s="2" t="n">
        <v>2007</v>
      </c>
      <c r="H479" s="3" t="n">
        <v>7326.6</v>
      </c>
      <c r="I479" s="3" t="n">
        <v>1671.1</v>
      </c>
      <c r="J479" s="3" t="n">
        <v>5664.1</v>
      </c>
      <c r="K479" s="3" t="n">
        <v>6816.6</v>
      </c>
      <c r="L479" s="4" t="n">
        <v>93.03906314</v>
      </c>
      <c r="M479" s="3" t="n">
        <v>510</v>
      </c>
      <c r="N479" s="4" t="n">
        <v>6.96093686</v>
      </c>
    </row>
    <row r="480" customFormat="false" ht="15" hidden="false" customHeight="false" outlineLevel="0" collapsed="false">
      <c r="A480" s="2" t="s">
        <v>572</v>
      </c>
      <c r="B480" s="2" t="s">
        <v>15</v>
      </c>
      <c r="C480" s="2" t="s">
        <v>22</v>
      </c>
      <c r="D480" s="2" t="s">
        <v>17</v>
      </c>
      <c r="E480" s="2" t="s">
        <v>99</v>
      </c>
      <c r="F480" s="2" t="s">
        <v>19</v>
      </c>
      <c r="G480" s="2" t="n">
        <v>2014</v>
      </c>
      <c r="H480" s="3" t="n">
        <v>7313.2</v>
      </c>
      <c r="I480" s="3" t="n">
        <v>7318.3</v>
      </c>
      <c r="J480" s="3" t="n">
        <v>8.3</v>
      </c>
      <c r="K480" s="3" t="n">
        <v>2901.6</v>
      </c>
      <c r="L480" s="4" t="n">
        <v>39.67620194</v>
      </c>
      <c r="M480" s="3" t="n">
        <v>4411.6</v>
      </c>
      <c r="N480" s="4" t="n">
        <v>60.32379806</v>
      </c>
    </row>
    <row r="481" customFormat="false" ht="15" hidden="false" customHeight="false" outlineLevel="0" collapsed="false">
      <c r="A481" s="2" t="s">
        <v>573</v>
      </c>
      <c r="B481" s="2" t="s">
        <v>21</v>
      </c>
      <c r="C481" s="2" t="s">
        <v>574</v>
      </c>
      <c r="D481" s="2" t="s">
        <v>17</v>
      </c>
      <c r="E481" s="2" t="s">
        <v>23</v>
      </c>
      <c r="F481" s="2" t="s">
        <v>19</v>
      </c>
      <c r="G481" s="2" t="n">
        <v>2020</v>
      </c>
      <c r="H481" s="3" t="n">
        <v>7286.8</v>
      </c>
      <c r="I481" s="3" t="n">
        <v>4703.7</v>
      </c>
      <c r="J481" s="3" t="n">
        <v>2609.5</v>
      </c>
      <c r="K481" s="3" t="n">
        <v>6083.2</v>
      </c>
      <c r="L481" s="4" t="n">
        <v>83.48246144</v>
      </c>
      <c r="M481" s="3" t="n">
        <v>1203.6</v>
      </c>
      <c r="N481" s="4" t="n">
        <v>16.51753856</v>
      </c>
    </row>
    <row r="482" customFormat="false" ht="15" hidden="false" customHeight="false" outlineLevel="0" collapsed="false">
      <c r="A482" s="2" t="s">
        <v>575</v>
      </c>
      <c r="B482" s="2" t="s">
        <v>15</v>
      </c>
      <c r="C482" s="2" t="s">
        <v>167</v>
      </c>
      <c r="D482" s="2" t="s">
        <v>168</v>
      </c>
      <c r="E482" s="2" t="s">
        <v>83</v>
      </c>
      <c r="F482" s="2" t="s">
        <v>49</v>
      </c>
      <c r="G482" s="2" t="n">
        <v>2016</v>
      </c>
      <c r="H482" s="3" t="n">
        <v>7277.6</v>
      </c>
      <c r="I482" s="3" t="n">
        <v>6836.9</v>
      </c>
      <c r="J482" s="3" t="n">
        <v>455.9</v>
      </c>
      <c r="K482" s="3" t="n">
        <v>3003</v>
      </c>
      <c r="L482" s="4" t="n">
        <v>41.26360339</v>
      </c>
      <c r="M482" s="3" t="n">
        <v>4274.6</v>
      </c>
      <c r="N482" s="4" t="n">
        <v>58.73639661</v>
      </c>
    </row>
    <row r="483" customFormat="false" ht="15" hidden="false" customHeight="false" outlineLevel="0" collapsed="false">
      <c r="A483" s="2" t="s">
        <v>576</v>
      </c>
      <c r="B483" s="2" t="s">
        <v>21</v>
      </c>
      <c r="C483" s="2" t="s">
        <v>223</v>
      </c>
      <c r="D483" s="2" t="s">
        <v>25</v>
      </c>
      <c r="E483" s="2" t="s">
        <v>83</v>
      </c>
      <c r="F483" s="2" t="s">
        <v>19</v>
      </c>
      <c r="G483" s="2" t="n">
        <v>2019</v>
      </c>
      <c r="H483" s="3" t="n">
        <v>7256.2</v>
      </c>
      <c r="I483" s="3" t="n">
        <v>2470.4</v>
      </c>
      <c r="J483" s="3" t="n">
        <v>4785.8</v>
      </c>
      <c r="K483" s="3" t="n">
        <v>976.1</v>
      </c>
      <c r="L483" s="4" t="n">
        <v>13.45194454</v>
      </c>
      <c r="M483" s="3" t="n">
        <v>6280.1</v>
      </c>
      <c r="N483" s="4" t="n">
        <v>86.54805546</v>
      </c>
    </row>
    <row r="484" customFormat="false" ht="15" hidden="false" customHeight="false" outlineLevel="0" collapsed="false">
      <c r="A484" s="2" t="s">
        <v>577</v>
      </c>
      <c r="B484" s="2" t="s">
        <v>15</v>
      </c>
      <c r="C484" s="2" t="s">
        <v>22</v>
      </c>
      <c r="D484" s="2" t="s">
        <v>17</v>
      </c>
      <c r="E484" s="2" t="s">
        <v>18</v>
      </c>
      <c r="F484" s="2" t="s">
        <v>19</v>
      </c>
      <c r="G484" s="2" t="n">
        <v>2012</v>
      </c>
      <c r="H484" s="3" t="n">
        <v>7252.1</v>
      </c>
      <c r="I484" s="3" t="n">
        <v>4583.7</v>
      </c>
      <c r="J484" s="3" t="n">
        <v>2668.4</v>
      </c>
      <c r="K484" s="3" t="n">
        <v>2499</v>
      </c>
      <c r="L484" s="4" t="n">
        <v>34.45898429</v>
      </c>
      <c r="M484" s="3" t="n">
        <v>4753.1</v>
      </c>
      <c r="N484" s="4" t="n">
        <v>65.54101571</v>
      </c>
    </row>
    <row r="485" customFormat="false" ht="15" hidden="false" customHeight="false" outlineLevel="0" collapsed="false">
      <c r="A485" s="2" t="s">
        <v>578</v>
      </c>
      <c r="B485" s="2" t="s">
        <v>21</v>
      </c>
      <c r="C485" s="2" t="s">
        <v>408</v>
      </c>
      <c r="D485" s="2" t="s">
        <v>409</v>
      </c>
      <c r="E485" s="2" t="s">
        <v>23</v>
      </c>
      <c r="F485" s="2" t="s">
        <v>19</v>
      </c>
      <c r="G485" s="2" t="n">
        <v>1997</v>
      </c>
      <c r="H485" s="3" t="n">
        <v>7239.7</v>
      </c>
      <c r="I485" s="3" t="n">
        <v>0</v>
      </c>
      <c r="J485" s="3" t="n">
        <v>7239.7</v>
      </c>
      <c r="K485" s="3" t="n">
        <v>0</v>
      </c>
      <c r="L485" s="4" t="n">
        <v>0</v>
      </c>
      <c r="M485" s="3" t="n">
        <v>7239.7</v>
      </c>
      <c r="N485" s="4" t="n">
        <v>100</v>
      </c>
    </row>
    <row r="486" customFormat="false" ht="15" hidden="false" customHeight="false" outlineLevel="0" collapsed="false">
      <c r="A486" s="2" t="s">
        <v>579</v>
      </c>
      <c r="B486" s="2" t="s">
        <v>15</v>
      </c>
      <c r="C486" s="2" t="s">
        <v>22</v>
      </c>
      <c r="D486" s="2" t="s">
        <v>17</v>
      </c>
      <c r="E486" s="2" t="s">
        <v>18</v>
      </c>
      <c r="F486" s="2" t="s">
        <v>19</v>
      </c>
      <c r="G486" s="2" t="n">
        <v>2008</v>
      </c>
      <c r="H486" s="3" t="n">
        <v>7237.6</v>
      </c>
      <c r="I486" s="3" t="n">
        <v>0</v>
      </c>
      <c r="J486" s="3" t="n">
        <v>7237.6</v>
      </c>
      <c r="K486" s="3" t="n">
        <v>0</v>
      </c>
      <c r="L486" s="4" t="n">
        <v>0</v>
      </c>
      <c r="M486" s="3" t="n">
        <v>7237.6</v>
      </c>
      <c r="N486" s="4" t="n">
        <v>100</v>
      </c>
    </row>
    <row r="487" customFormat="false" ht="15" hidden="false" customHeight="false" outlineLevel="0" collapsed="false">
      <c r="A487" s="2" t="s">
        <v>580</v>
      </c>
      <c r="B487" s="2" t="s">
        <v>15</v>
      </c>
      <c r="C487" s="2" t="s">
        <v>243</v>
      </c>
      <c r="D487" s="2" t="s">
        <v>25</v>
      </c>
      <c r="E487" s="2" t="s">
        <v>18</v>
      </c>
      <c r="F487" s="2" t="s">
        <v>19</v>
      </c>
      <c r="G487" s="2" t="n">
        <v>2018</v>
      </c>
      <c r="H487" s="3" t="n">
        <v>7209.6</v>
      </c>
      <c r="I487" s="3" t="n">
        <v>3303.8</v>
      </c>
      <c r="J487" s="3" t="n">
        <v>3905.7</v>
      </c>
      <c r="K487" s="3" t="n">
        <v>2183.8</v>
      </c>
      <c r="L487" s="4" t="n">
        <v>30.29016866</v>
      </c>
      <c r="M487" s="3" t="n">
        <v>5025.8</v>
      </c>
      <c r="N487" s="4" t="n">
        <v>69.70983134</v>
      </c>
    </row>
    <row r="488" customFormat="false" ht="15" hidden="false" customHeight="false" outlineLevel="0" collapsed="false">
      <c r="A488" s="2" t="s">
        <v>581</v>
      </c>
      <c r="B488" s="2" t="s">
        <v>15</v>
      </c>
      <c r="C488" s="2" t="s">
        <v>34</v>
      </c>
      <c r="D488" s="2" t="s">
        <v>17</v>
      </c>
      <c r="E488" s="2" t="s">
        <v>23</v>
      </c>
      <c r="F488" s="2" t="s">
        <v>19</v>
      </c>
      <c r="G488" s="2" t="n">
        <v>2016</v>
      </c>
      <c r="H488" s="3" t="n">
        <v>7192.6</v>
      </c>
      <c r="I488" s="3" t="n">
        <v>4689.2</v>
      </c>
      <c r="J488" s="3" t="n">
        <v>2505.3</v>
      </c>
      <c r="K488" s="3" t="n">
        <v>3982.2</v>
      </c>
      <c r="L488" s="4" t="n">
        <v>55.36523649</v>
      </c>
      <c r="M488" s="3" t="n">
        <v>3210.4</v>
      </c>
      <c r="N488" s="4" t="n">
        <v>44.63476351</v>
      </c>
    </row>
    <row r="489" customFormat="false" ht="15" hidden="false" customHeight="false" outlineLevel="0" collapsed="false">
      <c r="A489" s="2" t="s">
        <v>582</v>
      </c>
      <c r="B489" s="2" t="s">
        <v>15</v>
      </c>
      <c r="C489" s="2" t="s">
        <v>46</v>
      </c>
      <c r="D489" s="2" t="s">
        <v>47</v>
      </c>
      <c r="E489" s="2" t="s">
        <v>48</v>
      </c>
      <c r="F489" s="2" t="s">
        <v>49</v>
      </c>
      <c r="G489" s="2" t="n">
        <v>2019</v>
      </c>
      <c r="H489" s="3" t="n">
        <v>7182.1</v>
      </c>
      <c r="I489" s="3" t="n">
        <v>6877.5</v>
      </c>
      <c r="J489" s="3" t="n">
        <v>304.7</v>
      </c>
      <c r="K489" s="3" t="n">
        <v>6118.4</v>
      </c>
      <c r="L489" s="4" t="n">
        <v>85.18956851</v>
      </c>
      <c r="M489" s="3" t="n">
        <v>1063.7</v>
      </c>
      <c r="N489" s="4" t="n">
        <v>14.81043149</v>
      </c>
    </row>
    <row r="490" customFormat="false" ht="15" hidden="false" customHeight="false" outlineLevel="0" collapsed="false">
      <c r="A490" s="2" t="s">
        <v>583</v>
      </c>
      <c r="B490" s="2" t="s">
        <v>15</v>
      </c>
      <c r="C490" s="2" t="s">
        <v>90</v>
      </c>
      <c r="D490" s="2" t="s">
        <v>25</v>
      </c>
      <c r="E490" s="2" t="s">
        <v>91</v>
      </c>
      <c r="F490" s="2" t="s">
        <v>49</v>
      </c>
      <c r="G490" s="2" t="n">
        <v>2015</v>
      </c>
      <c r="H490" s="3" t="n">
        <v>7123.4</v>
      </c>
      <c r="I490" s="3" t="n">
        <v>5595.9</v>
      </c>
      <c r="J490" s="3" t="n">
        <v>1527.5</v>
      </c>
      <c r="K490" s="3" t="n">
        <v>3002</v>
      </c>
      <c r="L490" s="4" t="n">
        <v>42.14279698</v>
      </c>
      <c r="M490" s="3" t="n">
        <v>4121.4</v>
      </c>
      <c r="N490" s="4" t="n">
        <v>57.85720302</v>
      </c>
    </row>
    <row r="491" customFormat="false" ht="15" hidden="false" customHeight="false" outlineLevel="0" collapsed="false">
      <c r="A491" s="2" t="s">
        <v>584</v>
      </c>
      <c r="B491" s="2" t="s">
        <v>15</v>
      </c>
      <c r="C491" s="2" t="s">
        <v>22</v>
      </c>
      <c r="D491" s="2" t="s">
        <v>17</v>
      </c>
      <c r="E491" s="2" t="s">
        <v>23</v>
      </c>
      <c r="F491" s="2" t="s">
        <v>19</v>
      </c>
      <c r="G491" s="2" t="n">
        <v>2007</v>
      </c>
      <c r="H491" s="3" t="n">
        <v>7114.1</v>
      </c>
      <c r="I491" s="3" t="n">
        <v>4400.3</v>
      </c>
      <c r="J491" s="3" t="n">
        <v>2716</v>
      </c>
      <c r="K491" s="3" t="n">
        <v>3.9</v>
      </c>
      <c r="L491" s="4" t="n">
        <v>0.05482070817</v>
      </c>
      <c r="M491" s="3" t="n">
        <v>7110.2</v>
      </c>
      <c r="N491" s="4" t="n">
        <v>99.94517929</v>
      </c>
    </row>
    <row r="492" customFormat="false" ht="15" hidden="false" customHeight="false" outlineLevel="0" collapsed="false">
      <c r="A492" s="2" t="s">
        <v>585</v>
      </c>
      <c r="B492" s="2" t="s">
        <v>15</v>
      </c>
      <c r="C492" s="2" t="s">
        <v>22</v>
      </c>
      <c r="D492" s="2" t="s">
        <v>17</v>
      </c>
      <c r="E492" s="2" t="s">
        <v>18</v>
      </c>
      <c r="F492" s="2" t="s">
        <v>19</v>
      </c>
      <c r="G492" s="2" t="n">
        <v>2010</v>
      </c>
      <c r="H492" s="3" t="n">
        <v>7073.7</v>
      </c>
      <c r="I492" s="3" t="n">
        <v>2882.3</v>
      </c>
      <c r="J492" s="3" t="n">
        <v>4191.4</v>
      </c>
      <c r="K492" s="3" t="n">
        <v>1158.3</v>
      </c>
      <c r="L492" s="4" t="n">
        <v>16.37474023</v>
      </c>
      <c r="M492" s="3" t="n">
        <v>5915.4</v>
      </c>
      <c r="N492" s="4" t="n">
        <v>83.62525977</v>
      </c>
    </row>
    <row r="493" customFormat="false" ht="15" hidden="false" customHeight="false" outlineLevel="0" collapsed="false">
      <c r="A493" s="2" t="s">
        <v>586</v>
      </c>
      <c r="B493" s="2" t="s">
        <v>15</v>
      </c>
      <c r="C493" s="2" t="s">
        <v>22</v>
      </c>
      <c r="D493" s="2" t="s">
        <v>17</v>
      </c>
      <c r="E493" s="2" t="s">
        <v>18</v>
      </c>
      <c r="F493" s="2" t="s">
        <v>19</v>
      </c>
      <c r="G493" s="2" t="n">
        <v>2017</v>
      </c>
      <c r="H493" s="3" t="n">
        <v>7061.3</v>
      </c>
      <c r="I493" s="3" t="n">
        <v>7067.3</v>
      </c>
      <c r="J493" s="3" t="n">
        <v>0</v>
      </c>
      <c r="K493" s="3" t="n">
        <v>4346.8</v>
      </c>
      <c r="L493" s="4" t="n">
        <v>61.55807004</v>
      </c>
      <c r="M493" s="3" t="n">
        <v>2714.5</v>
      </c>
      <c r="N493" s="4" t="n">
        <v>38.44192996</v>
      </c>
    </row>
    <row r="494" customFormat="false" ht="15" hidden="false" customHeight="false" outlineLevel="0" collapsed="false">
      <c r="A494" s="2" t="s">
        <v>587</v>
      </c>
      <c r="B494" s="2" t="s">
        <v>15</v>
      </c>
      <c r="C494" s="2" t="s">
        <v>90</v>
      </c>
      <c r="D494" s="2" t="s">
        <v>25</v>
      </c>
      <c r="E494" s="2" t="s">
        <v>83</v>
      </c>
      <c r="F494" s="2" t="s">
        <v>19</v>
      </c>
      <c r="G494" s="2" t="n">
        <v>1971</v>
      </c>
      <c r="H494" s="3" t="n">
        <v>7059.2</v>
      </c>
      <c r="I494" s="3" t="n">
        <v>6505.8</v>
      </c>
      <c r="J494" s="3" t="n">
        <v>557.1</v>
      </c>
      <c r="K494" s="3" t="n">
        <v>5676.3</v>
      </c>
      <c r="L494" s="4" t="n">
        <v>80.40996147</v>
      </c>
      <c r="M494" s="3" t="n">
        <v>1382.9</v>
      </c>
      <c r="N494" s="4" t="n">
        <v>19.59003853</v>
      </c>
    </row>
    <row r="495" customFormat="false" ht="15" hidden="false" customHeight="false" outlineLevel="0" collapsed="false">
      <c r="A495" s="2" t="s">
        <v>588</v>
      </c>
      <c r="B495" s="2" t="s">
        <v>15</v>
      </c>
      <c r="C495" s="2" t="s">
        <v>90</v>
      </c>
      <c r="D495" s="2" t="s">
        <v>25</v>
      </c>
      <c r="E495" s="2" t="s">
        <v>83</v>
      </c>
      <c r="F495" s="2" t="s">
        <v>49</v>
      </c>
      <c r="G495" s="2" t="n">
        <v>1977</v>
      </c>
      <c r="H495" s="3" t="n">
        <v>7059.2</v>
      </c>
      <c r="I495" s="3" t="n">
        <v>6607.2</v>
      </c>
      <c r="J495" s="3" t="n">
        <v>446.9</v>
      </c>
      <c r="K495" s="3" t="n">
        <v>7059.2</v>
      </c>
      <c r="L495" s="4" t="n">
        <v>100</v>
      </c>
      <c r="M495" s="3" t="n">
        <v>0</v>
      </c>
      <c r="N495" s="4" t="n">
        <v>0</v>
      </c>
    </row>
    <row r="496" customFormat="false" ht="15" hidden="false" customHeight="false" outlineLevel="0" collapsed="false">
      <c r="A496" s="2" t="s">
        <v>589</v>
      </c>
      <c r="B496" s="2" t="s">
        <v>15</v>
      </c>
      <c r="C496" s="2" t="s">
        <v>22</v>
      </c>
      <c r="D496" s="2" t="s">
        <v>17</v>
      </c>
      <c r="E496" s="2" t="s">
        <v>23</v>
      </c>
      <c r="F496" s="2" t="s">
        <v>19</v>
      </c>
      <c r="G496" s="2" t="n">
        <v>2002</v>
      </c>
      <c r="H496" s="3" t="n">
        <v>7048.5</v>
      </c>
      <c r="I496" s="3" t="n">
        <v>6851.4</v>
      </c>
      <c r="J496" s="3" t="n">
        <v>199.1</v>
      </c>
      <c r="K496" s="3" t="n">
        <v>5805</v>
      </c>
      <c r="L496" s="4" t="n">
        <v>82.3579485</v>
      </c>
      <c r="M496" s="3" t="n">
        <v>1243.5</v>
      </c>
      <c r="N496" s="4" t="n">
        <v>17.6420515</v>
      </c>
    </row>
    <row r="497" customFormat="false" ht="15" hidden="false" customHeight="false" outlineLevel="0" collapsed="false">
      <c r="A497" s="2" t="s">
        <v>590</v>
      </c>
      <c r="B497" s="2" t="s">
        <v>15</v>
      </c>
      <c r="C497" s="2" t="s">
        <v>34</v>
      </c>
      <c r="D497" s="2" t="s">
        <v>17</v>
      </c>
      <c r="E497" s="2" t="s">
        <v>52</v>
      </c>
      <c r="F497" s="2" t="s">
        <v>49</v>
      </c>
      <c r="G497" s="2" t="n">
        <v>1979</v>
      </c>
      <c r="H497" s="3" t="n">
        <v>7034.1</v>
      </c>
      <c r="I497" s="3" t="n">
        <v>7035</v>
      </c>
      <c r="J497" s="3" t="n">
        <v>3.3</v>
      </c>
      <c r="K497" s="3" t="n">
        <v>6940.1</v>
      </c>
      <c r="L497" s="4" t="n">
        <v>98.66365278</v>
      </c>
      <c r="M497" s="3" t="n">
        <v>94</v>
      </c>
      <c r="N497" s="4" t="n">
        <v>1.336347223</v>
      </c>
    </row>
    <row r="498" customFormat="false" ht="15" hidden="false" customHeight="false" outlineLevel="0" collapsed="false">
      <c r="A498" s="2" t="s">
        <v>591</v>
      </c>
      <c r="B498" s="2" t="s">
        <v>79</v>
      </c>
      <c r="C498" s="2" t="s">
        <v>22</v>
      </c>
      <c r="D498" s="2" t="s">
        <v>17</v>
      </c>
      <c r="E498" s="2" t="s">
        <v>23</v>
      </c>
      <c r="F498" s="2" t="s">
        <v>49</v>
      </c>
      <c r="G498" s="2" t="n">
        <v>2017</v>
      </c>
      <c r="H498" s="3" t="n">
        <v>7029.1</v>
      </c>
      <c r="I498" s="3" t="n">
        <v>5774.4</v>
      </c>
      <c r="J498" s="3" t="n">
        <v>1261.4</v>
      </c>
      <c r="K498" s="3" t="n">
        <v>5705.9</v>
      </c>
      <c r="L498" s="4" t="n">
        <v>81.17539941</v>
      </c>
      <c r="M498" s="3" t="n">
        <v>1323.2</v>
      </c>
      <c r="N498" s="4" t="n">
        <v>18.82460059</v>
      </c>
    </row>
    <row r="499" customFormat="false" ht="15" hidden="false" customHeight="false" outlineLevel="0" collapsed="false">
      <c r="A499" s="2" t="s">
        <v>592</v>
      </c>
      <c r="B499" s="2" t="s">
        <v>15</v>
      </c>
      <c r="C499" s="2" t="s">
        <v>22</v>
      </c>
      <c r="D499" s="2" t="s">
        <v>17</v>
      </c>
      <c r="E499" s="2" t="s">
        <v>593</v>
      </c>
      <c r="F499" s="2" t="s">
        <v>49</v>
      </c>
      <c r="G499" s="2" t="n">
        <v>1997</v>
      </c>
      <c r="H499" s="3" t="n">
        <v>7018.9</v>
      </c>
      <c r="I499" s="3" t="n">
        <v>7018.4</v>
      </c>
      <c r="J499" s="3" t="n">
        <v>5.4</v>
      </c>
      <c r="K499" s="3" t="n">
        <v>6806</v>
      </c>
      <c r="L499" s="4" t="n">
        <v>96.96676117</v>
      </c>
      <c r="M499" s="3" t="n">
        <v>212.9</v>
      </c>
      <c r="N499" s="4" t="n">
        <v>3.033238827</v>
      </c>
    </row>
    <row r="500" customFormat="false" ht="15" hidden="false" customHeight="false" outlineLevel="0" collapsed="false">
      <c r="A500" s="2" t="s">
        <v>594</v>
      </c>
      <c r="B500" s="2" t="s">
        <v>15</v>
      </c>
      <c r="C500" s="2" t="s">
        <v>22</v>
      </c>
      <c r="D500" s="2" t="s">
        <v>17</v>
      </c>
      <c r="E500" s="2" t="s">
        <v>292</v>
      </c>
      <c r="F500" s="2" t="s">
        <v>49</v>
      </c>
      <c r="G500" s="2" t="n">
        <v>1994</v>
      </c>
      <c r="H500" s="3" t="n">
        <v>6976.4</v>
      </c>
      <c r="I500" s="3" t="n">
        <v>4188.4</v>
      </c>
      <c r="J500" s="3" t="n">
        <v>2798.5</v>
      </c>
      <c r="K500" s="3" t="n">
        <v>6414.9</v>
      </c>
      <c r="L500" s="4" t="n">
        <v>91.95143627</v>
      </c>
      <c r="M500" s="3" t="n">
        <v>561.5</v>
      </c>
      <c r="N500" s="4" t="n">
        <v>8.048563729</v>
      </c>
    </row>
    <row r="501" customFormat="false" ht="15" hidden="false" customHeight="false" outlineLevel="0" collapsed="false">
      <c r="A501" s="2" t="s">
        <v>595</v>
      </c>
      <c r="B501" s="2" t="s">
        <v>15</v>
      </c>
      <c r="C501" s="2" t="s">
        <v>22</v>
      </c>
      <c r="D501" s="2" t="s">
        <v>25</v>
      </c>
      <c r="E501" s="2" t="s">
        <v>26</v>
      </c>
      <c r="F501" s="2" t="s">
        <v>19</v>
      </c>
      <c r="G501" s="2" t="n">
        <v>2017</v>
      </c>
      <c r="H501" s="3" t="n">
        <v>6972</v>
      </c>
      <c r="I501" s="3" t="n">
        <v>6956</v>
      </c>
      <c r="J501" s="3" t="n">
        <v>20.3</v>
      </c>
      <c r="K501" s="3" t="n">
        <v>1876.2</v>
      </c>
      <c r="L501" s="4" t="n">
        <v>26.91049914</v>
      </c>
      <c r="M501" s="3" t="n">
        <v>5095.8</v>
      </c>
      <c r="N501" s="4" t="n">
        <v>73.08950086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20"/>
    <col collapsed="false" customWidth="true" hidden="false" outlineLevel="0" max="17" min="17" style="0" width="22"/>
  </cols>
  <sheetData>
    <row r="1" customFormat="false" ht="17.35" hidden="false" customHeight="false" outlineLevel="0" collapsed="false">
      <c r="A1" s="5" t="s">
        <v>596</v>
      </c>
      <c r="B1" s="5"/>
      <c r="C1" s="5"/>
      <c r="D1" s="5"/>
      <c r="E1" s="5"/>
      <c r="F1" s="5"/>
    </row>
    <row r="3" customFormat="false" ht="30" hidden="false" customHeight="true" outlineLevel="0" collapsed="false">
      <c r="A3" s="6" t="s">
        <v>597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5" customFormat="false" ht="15" hidden="false" customHeight="false" outlineLevel="0" collapsed="false">
      <c r="A5" s="7" t="s">
        <v>598</v>
      </c>
      <c r="C5" s="8" t="n">
        <v>2026</v>
      </c>
    </row>
    <row r="7" customFormat="false" ht="39.55" hidden="false" customHeight="false" outlineLevel="0" collapsed="false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599</v>
      </c>
      <c r="P7" s="1" t="s">
        <v>600</v>
      </c>
      <c r="Q7" s="1" t="s">
        <v>601</v>
      </c>
    </row>
    <row r="8" customFormat="false" ht="15" hidden="false" customHeight="false" outlineLevel="0" collapsed="false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n">
        <v>2006</v>
      </c>
      <c r="H8" s="3" t="n">
        <v>137492.1</v>
      </c>
      <c r="I8" s="3" t="n">
        <v>94851.1</v>
      </c>
      <c r="J8" s="3" t="n">
        <v>42640.9</v>
      </c>
      <c r="K8" s="3" t="n">
        <v>53323.9</v>
      </c>
      <c r="L8" s="4" t="n">
        <v>38.78324646</v>
      </c>
      <c r="M8" s="3" t="n">
        <v>84168.2</v>
      </c>
      <c r="N8" s="4" t="n">
        <v>61.21675354</v>
      </c>
      <c r="O8" s="9" t="n">
        <f aca="false">$C$5-G8</f>
        <v>20</v>
      </c>
      <c r="P8" s="3" t="n">
        <f aca="false">H8/O8</f>
        <v>6874.605</v>
      </c>
      <c r="Q8" s="2" t="str">
        <f aca="false">IF(G8&lt;2010,"Legacy (pre-2010)",IF(G8&lt;=2017,"Established (2010-2017)","Emerging (2018+)"))</f>
        <v>Legacy (pre-2010)</v>
      </c>
    </row>
    <row r="9" customFormat="false" ht="15" hidden="false" customHeight="false" outlineLevel="0" collapsed="false">
      <c r="A9" s="2" t="s">
        <v>20</v>
      </c>
      <c r="B9" s="2" t="s">
        <v>21</v>
      </c>
      <c r="C9" s="2" t="s">
        <v>22</v>
      </c>
      <c r="D9" s="2" t="s">
        <v>17</v>
      </c>
      <c r="E9" s="2" t="s">
        <v>23</v>
      </c>
      <c r="F9" s="2" t="s">
        <v>19</v>
      </c>
      <c r="G9" s="2" t="n">
        <v>2006</v>
      </c>
      <c r="H9" s="3" t="n">
        <v>127861</v>
      </c>
      <c r="I9" s="3" t="n">
        <v>126177.3</v>
      </c>
      <c r="J9" s="3" t="n">
        <v>1683.8</v>
      </c>
      <c r="K9" s="3" t="n">
        <v>113421.5</v>
      </c>
      <c r="L9" s="4" t="n">
        <v>88.706877</v>
      </c>
      <c r="M9" s="3" t="n">
        <v>14439.5</v>
      </c>
      <c r="N9" s="4" t="n">
        <v>11.293123</v>
      </c>
      <c r="O9" s="9" t="n">
        <f aca="false">$C$5-G9</f>
        <v>20</v>
      </c>
      <c r="P9" s="3" t="n">
        <f aca="false">H9/O9</f>
        <v>6393.05</v>
      </c>
      <c r="Q9" s="2" t="str">
        <f aca="false">IF(G9&lt;2010,"Legacy (pre-2010)",IF(G9&lt;=2017,"Established (2010-2017)","Emerging (2018+)"))</f>
        <v>Legacy (pre-2010)</v>
      </c>
    </row>
    <row r="10" customFormat="false" ht="15" hidden="false" customHeight="false" outlineLevel="0" collapsed="false">
      <c r="A10" s="2" t="s">
        <v>24</v>
      </c>
      <c r="B10" s="2" t="s">
        <v>15</v>
      </c>
      <c r="C10" s="2" t="s">
        <v>22</v>
      </c>
      <c r="D10" s="2" t="s">
        <v>25</v>
      </c>
      <c r="E10" s="2" t="s">
        <v>26</v>
      </c>
      <c r="F10" s="2" t="s">
        <v>19</v>
      </c>
      <c r="G10" s="2" t="n">
        <v>2013</v>
      </c>
      <c r="H10" s="3" t="n">
        <v>125899.8</v>
      </c>
      <c r="I10" s="3" t="n">
        <v>82189.3</v>
      </c>
      <c r="J10" s="3" t="n">
        <v>43710.5</v>
      </c>
      <c r="K10" s="3" t="n">
        <v>48887</v>
      </c>
      <c r="L10" s="4" t="n">
        <v>38.83008551</v>
      </c>
      <c r="M10" s="3" t="n">
        <v>77012.8</v>
      </c>
      <c r="N10" s="4" t="n">
        <v>61.16991449</v>
      </c>
      <c r="O10" s="9" t="n">
        <f aca="false">$C$5-G10</f>
        <v>13</v>
      </c>
      <c r="P10" s="3" t="n">
        <f aca="false">H10/O10</f>
        <v>9684.6</v>
      </c>
      <c r="Q10" s="2" t="str">
        <f aca="false">IF(G10&lt;2010,"Legacy (pre-2010)",IF(G10&lt;=2017,"Established (2010-2017)","Emerging (2018+)"))</f>
        <v>Established (2010-2017)</v>
      </c>
    </row>
    <row r="11" customFormat="false" ht="15" hidden="false" customHeight="false" outlineLevel="0" collapsed="false">
      <c r="A11" s="2" t="s">
        <v>27</v>
      </c>
      <c r="B11" s="2" t="s">
        <v>15</v>
      </c>
      <c r="C11" s="2" t="s">
        <v>16</v>
      </c>
      <c r="D11" s="2" t="s">
        <v>17</v>
      </c>
      <c r="E11" s="2" t="s">
        <v>28</v>
      </c>
      <c r="F11" s="2" t="s">
        <v>19</v>
      </c>
      <c r="G11" s="2" t="n">
        <v>2009</v>
      </c>
      <c r="H11" s="3" t="n">
        <v>95703.2</v>
      </c>
      <c r="I11" s="3" t="n">
        <v>77189.4</v>
      </c>
      <c r="J11" s="3" t="n">
        <v>18513.8</v>
      </c>
      <c r="K11" s="3" t="n">
        <v>51020</v>
      </c>
      <c r="L11" s="4" t="n">
        <v>53.3106521</v>
      </c>
      <c r="M11" s="3" t="n">
        <v>44683.2</v>
      </c>
      <c r="N11" s="4" t="n">
        <v>46.6893479</v>
      </c>
      <c r="O11" s="9" t="n">
        <f aca="false">$C$5-G11</f>
        <v>17</v>
      </c>
      <c r="P11" s="3" t="n">
        <f aca="false">H11/O11</f>
        <v>5629.6</v>
      </c>
      <c r="Q11" s="2" t="str">
        <f aca="false">IF(G11&lt;2010,"Legacy (pre-2010)",IF(G11&lt;=2017,"Established (2010-2017)","Emerging (2018+)"))</f>
        <v>Legacy (pre-2010)</v>
      </c>
    </row>
    <row r="12" customFormat="false" ht="15" hidden="false" customHeight="false" outlineLevel="0" collapsed="false">
      <c r="A12" s="2" t="s">
        <v>29</v>
      </c>
      <c r="B12" s="2" t="s">
        <v>15</v>
      </c>
      <c r="C12" s="2" t="s">
        <v>16</v>
      </c>
      <c r="D12" s="2" t="s">
        <v>17</v>
      </c>
      <c r="E12" s="2" t="s">
        <v>23</v>
      </c>
      <c r="F12" s="2" t="s">
        <v>19</v>
      </c>
      <c r="G12" s="2" t="n">
        <v>2009</v>
      </c>
      <c r="H12" s="3" t="n">
        <v>78104.4</v>
      </c>
      <c r="I12" s="3" t="n">
        <v>48316.2</v>
      </c>
      <c r="J12" s="3" t="n">
        <v>29788.2</v>
      </c>
      <c r="K12" s="3" t="n">
        <v>29638.3</v>
      </c>
      <c r="L12" s="4" t="n">
        <v>37.94702987</v>
      </c>
      <c r="M12" s="3" t="n">
        <v>48466.1</v>
      </c>
      <c r="N12" s="4" t="n">
        <v>62.05297013</v>
      </c>
      <c r="O12" s="9" t="n">
        <f aca="false">$C$5-G12</f>
        <v>17</v>
      </c>
      <c r="P12" s="3" t="n">
        <f aca="false">H12/O12</f>
        <v>4594.37647058824</v>
      </c>
      <c r="Q12" s="2" t="str">
        <f aca="false">IF(G12&lt;2010,"Legacy (pre-2010)",IF(G12&lt;=2017,"Established (2010-2017)","Emerging (2018+)"))</f>
        <v>Legacy (pre-2010)</v>
      </c>
    </row>
    <row r="13" customFormat="false" ht="15" hidden="false" customHeight="false" outlineLevel="0" collapsed="false">
      <c r="A13" s="2" t="s">
        <v>30</v>
      </c>
      <c r="B13" s="2" t="s">
        <v>21</v>
      </c>
      <c r="C13" s="2" t="s">
        <v>22</v>
      </c>
      <c r="D13" s="2" t="s">
        <v>17</v>
      </c>
      <c r="E13" s="2" t="s">
        <v>23</v>
      </c>
      <c r="F13" s="2" t="s">
        <v>19</v>
      </c>
      <c r="G13" s="2" t="n">
        <v>2013</v>
      </c>
      <c r="H13" s="3" t="n">
        <v>68298.9</v>
      </c>
      <c r="I13" s="3" t="n">
        <v>57097.5</v>
      </c>
      <c r="J13" s="3" t="n">
        <v>11201.4</v>
      </c>
      <c r="K13" s="3" t="n">
        <v>41615.5</v>
      </c>
      <c r="L13" s="4" t="n">
        <v>60.93143521</v>
      </c>
      <c r="M13" s="3" t="n">
        <v>26683.4</v>
      </c>
      <c r="N13" s="4" t="n">
        <v>39.06856479</v>
      </c>
      <c r="O13" s="9" t="n">
        <f aca="false">$C$5-G13</f>
        <v>13</v>
      </c>
      <c r="P13" s="3" t="n">
        <f aca="false">H13/O13</f>
        <v>5253.76153846154</v>
      </c>
      <c r="Q13" s="2" t="str">
        <f aca="false">IF(G13&lt;2010,"Legacy (pre-2010)",IF(G13&lt;=2017,"Established (2010-2017)","Emerging (2018+)"))</f>
        <v>Established (2010-2017)</v>
      </c>
    </row>
    <row r="14" customFormat="false" ht="15" hidden="false" customHeight="false" outlineLevel="0" collapsed="false">
      <c r="A14" s="2" t="s">
        <v>31</v>
      </c>
      <c r="B14" s="2" t="s">
        <v>15</v>
      </c>
      <c r="C14" s="2" t="s">
        <v>22</v>
      </c>
      <c r="D14" s="2" t="s">
        <v>17</v>
      </c>
      <c r="E14" s="2" t="s">
        <v>18</v>
      </c>
      <c r="F14" s="2" t="s">
        <v>19</v>
      </c>
      <c r="G14" s="2" t="n">
        <v>2013</v>
      </c>
      <c r="H14" s="3" t="n">
        <v>65349.7</v>
      </c>
      <c r="I14" s="3" t="n">
        <v>35338.7</v>
      </c>
      <c r="J14" s="3" t="n">
        <v>30027</v>
      </c>
      <c r="K14" s="3" t="n">
        <v>25309.9</v>
      </c>
      <c r="L14" s="4" t="n">
        <v>38.72994061</v>
      </c>
      <c r="M14" s="3" t="n">
        <v>40039.8</v>
      </c>
      <c r="N14" s="4" t="n">
        <v>61.27005939</v>
      </c>
      <c r="O14" s="9" t="n">
        <f aca="false">$C$5-G14</f>
        <v>13</v>
      </c>
      <c r="P14" s="3" t="n">
        <f aca="false">H14/O14</f>
        <v>5026.9</v>
      </c>
      <c r="Q14" s="2" t="str">
        <f aca="false">IF(G14&lt;2010,"Legacy (pre-2010)",IF(G14&lt;=2017,"Established (2010-2017)","Emerging (2018+)"))</f>
        <v>Established (2010-2017)</v>
      </c>
    </row>
    <row r="15" customFormat="false" ht="15" hidden="false" customHeight="false" outlineLevel="0" collapsed="false">
      <c r="A15" s="2" t="s">
        <v>32</v>
      </c>
      <c r="B15" s="2" t="s">
        <v>15</v>
      </c>
      <c r="C15" s="2" t="s">
        <v>22</v>
      </c>
      <c r="D15" s="2" t="s">
        <v>17</v>
      </c>
      <c r="E15" s="2" t="s">
        <v>18</v>
      </c>
      <c r="F15" s="2" t="s">
        <v>19</v>
      </c>
      <c r="G15" s="2" t="n">
        <v>2004</v>
      </c>
      <c r="H15" s="3" t="n">
        <v>65142.9</v>
      </c>
      <c r="I15" s="3" t="n">
        <v>46558.4</v>
      </c>
      <c r="J15" s="3" t="n">
        <v>18584.5</v>
      </c>
      <c r="K15" s="3" t="n">
        <v>28473</v>
      </c>
      <c r="L15" s="4" t="n">
        <v>43.70852388</v>
      </c>
      <c r="M15" s="3" t="n">
        <v>36669.9</v>
      </c>
      <c r="N15" s="4" t="n">
        <v>56.29147612</v>
      </c>
      <c r="O15" s="9" t="n">
        <f aca="false">$C$5-G15</f>
        <v>22</v>
      </c>
      <c r="P15" s="3" t="n">
        <f aca="false">H15/O15</f>
        <v>2961.04090909091</v>
      </c>
      <c r="Q15" s="2" t="str">
        <f aca="false">IF(G15&lt;2010,"Legacy (pre-2010)",IF(G15&lt;=2017,"Established (2010-2017)","Emerging (2018+)"))</f>
        <v>Legacy (pre-2010)</v>
      </c>
    </row>
    <row r="16" customFormat="false" ht="15" hidden="false" customHeight="false" outlineLevel="0" collapsed="false">
      <c r="A16" s="2" t="s">
        <v>33</v>
      </c>
      <c r="B16" s="2" t="s">
        <v>15</v>
      </c>
      <c r="C16" s="2" t="s">
        <v>34</v>
      </c>
      <c r="D16" s="2" t="s">
        <v>17</v>
      </c>
      <c r="E16" s="2" t="s">
        <v>23</v>
      </c>
      <c r="F16" s="2" t="s">
        <v>19</v>
      </c>
      <c r="G16" s="2" t="n">
        <v>2011</v>
      </c>
      <c r="H16" s="3" t="n">
        <v>64656.9</v>
      </c>
      <c r="I16" s="3" t="n">
        <v>57704</v>
      </c>
      <c r="J16" s="3" t="n">
        <v>6967.8</v>
      </c>
      <c r="K16" s="3" t="n">
        <v>46700</v>
      </c>
      <c r="L16" s="4" t="n">
        <v>72.22740342</v>
      </c>
      <c r="M16" s="3" t="n">
        <v>17956.9</v>
      </c>
      <c r="N16" s="4" t="n">
        <v>27.77259658</v>
      </c>
      <c r="O16" s="9" t="n">
        <f aca="false">$C$5-G16</f>
        <v>15</v>
      </c>
      <c r="P16" s="3" t="n">
        <f aca="false">H16/O16</f>
        <v>4310.46</v>
      </c>
      <c r="Q16" s="2" t="str">
        <f aca="false">IF(G16&lt;2010,"Legacy (pre-2010)",IF(G16&lt;=2017,"Established (2010-2017)","Emerging (2018+)"))</f>
        <v>Established (2010-2017)</v>
      </c>
    </row>
    <row r="17" customFormat="false" ht="15" hidden="false" customHeight="false" outlineLevel="0" collapsed="false">
      <c r="A17" s="2" t="s">
        <v>35</v>
      </c>
      <c r="B17" s="2" t="s">
        <v>15</v>
      </c>
      <c r="C17" s="2" t="s">
        <v>22</v>
      </c>
      <c r="D17" s="2" t="s">
        <v>17</v>
      </c>
      <c r="E17" s="2" t="s">
        <v>18</v>
      </c>
      <c r="F17" s="2" t="s">
        <v>19</v>
      </c>
      <c r="G17" s="2" t="n">
        <v>1996</v>
      </c>
      <c r="H17" s="3" t="n">
        <v>64549</v>
      </c>
      <c r="I17" s="3" t="n">
        <v>54466.8</v>
      </c>
      <c r="J17" s="3" t="n">
        <v>10100.7</v>
      </c>
      <c r="K17" s="3" t="n">
        <v>32940</v>
      </c>
      <c r="L17" s="4" t="n">
        <v>51.03099971</v>
      </c>
      <c r="M17" s="3" t="n">
        <v>31609</v>
      </c>
      <c r="N17" s="4" t="n">
        <v>48.96900029</v>
      </c>
      <c r="O17" s="9" t="n">
        <f aca="false">$C$5-G17</f>
        <v>30</v>
      </c>
      <c r="P17" s="3" t="n">
        <f aca="false">H17/O17</f>
        <v>2151.63333333333</v>
      </c>
      <c r="Q17" s="2" t="str">
        <f aca="false">IF(G17&lt;2010,"Legacy (pre-2010)",IF(G17&lt;=2017,"Established (2010-2017)","Emerging (2018+)"))</f>
        <v>Legacy (pre-2010)</v>
      </c>
    </row>
    <row r="18" customFormat="false" ht="15" hidden="false" customHeight="false" outlineLevel="0" collapsed="false">
      <c r="A18" s="2" t="s">
        <v>36</v>
      </c>
      <c r="B18" s="2" t="s">
        <v>21</v>
      </c>
      <c r="C18" s="2" t="s">
        <v>37</v>
      </c>
      <c r="D18" s="2" t="s">
        <v>17</v>
      </c>
      <c r="E18" s="2" t="s">
        <v>23</v>
      </c>
      <c r="F18" s="2" t="s">
        <v>19</v>
      </c>
      <c r="G18" s="2" t="n">
        <v>2005</v>
      </c>
      <c r="H18" s="3" t="n">
        <v>60670.7</v>
      </c>
      <c r="I18" s="3" t="n">
        <v>44824.4</v>
      </c>
      <c r="J18" s="3" t="n">
        <v>15846.4</v>
      </c>
      <c r="K18" s="3" t="n">
        <v>30261.8</v>
      </c>
      <c r="L18" s="4" t="n">
        <v>49.8787718</v>
      </c>
      <c r="M18" s="3" t="n">
        <v>30408.9</v>
      </c>
      <c r="N18" s="4" t="n">
        <v>50.1212282</v>
      </c>
      <c r="O18" s="9" t="n">
        <f aca="false">$C$5-G18</f>
        <v>21</v>
      </c>
      <c r="P18" s="3" t="n">
        <f aca="false">H18/O18</f>
        <v>2889.08095238095</v>
      </c>
      <c r="Q18" s="2" t="str">
        <f aca="false">IF(G18&lt;2010,"Legacy (pre-2010)",IF(G18&lt;=2017,"Established (2010-2017)","Emerging (2018+)"))</f>
        <v>Legacy (pre-2010)</v>
      </c>
    </row>
    <row r="19" customFormat="false" ht="15" hidden="false" customHeight="false" outlineLevel="0" collapsed="false">
      <c r="A19" s="2" t="s">
        <v>38</v>
      </c>
      <c r="B19" s="2" t="s">
        <v>21</v>
      </c>
      <c r="C19" s="2" t="s">
        <v>22</v>
      </c>
      <c r="D19" s="2" t="s">
        <v>17</v>
      </c>
      <c r="E19" s="2" t="s">
        <v>23</v>
      </c>
      <c r="F19" s="2" t="s">
        <v>19</v>
      </c>
      <c r="G19" s="2" t="n">
        <v>2015</v>
      </c>
      <c r="H19" s="3" t="n">
        <v>58049.5</v>
      </c>
      <c r="I19" s="3" t="n">
        <v>57160.1</v>
      </c>
      <c r="J19" s="3" t="n">
        <v>889.4</v>
      </c>
      <c r="K19" s="3" t="n">
        <v>51567.9</v>
      </c>
      <c r="L19" s="4" t="n">
        <v>88.83435689</v>
      </c>
      <c r="M19" s="3" t="n">
        <v>6481.6</v>
      </c>
      <c r="N19" s="4" t="n">
        <v>11.16564311</v>
      </c>
      <c r="O19" s="9" t="n">
        <f aca="false">$C$5-G19</f>
        <v>11</v>
      </c>
      <c r="P19" s="3" t="n">
        <f aca="false">H19/O19</f>
        <v>5277.22727272727</v>
      </c>
      <c r="Q19" s="2" t="str">
        <f aca="false">IF(G19&lt;2010,"Legacy (pre-2010)",IF(G19&lt;=2017,"Established (2010-2017)","Emerging (2018+)"))</f>
        <v>Established (2010-2017)</v>
      </c>
    </row>
    <row r="20" customFormat="false" ht="15" hidden="false" customHeight="false" outlineLevel="0" collapsed="false">
      <c r="A20" s="2" t="s">
        <v>39</v>
      </c>
      <c r="B20" s="2" t="s">
        <v>15</v>
      </c>
      <c r="C20" s="2" t="s">
        <v>22</v>
      </c>
      <c r="D20" s="2" t="s">
        <v>17</v>
      </c>
      <c r="E20" s="2" t="s">
        <v>23</v>
      </c>
      <c r="F20" s="2" t="s">
        <v>19</v>
      </c>
      <c r="G20" s="2" t="n">
        <v>2010</v>
      </c>
      <c r="H20" s="3" t="n">
        <v>56727.1</v>
      </c>
      <c r="I20" s="3" t="n">
        <v>40714</v>
      </c>
      <c r="J20" s="3" t="n">
        <v>16013.1</v>
      </c>
      <c r="K20" s="3" t="n">
        <v>33618.1</v>
      </c>
      <c r="L20" s="4" t="n">
        <v>59.26285673</v>
      </c>
      <c r="M20" s="3" t="n">
        <v>23109</v>
      </c>
      <c r="N20" s="4" t="n">
        <v>40.73714327</v>
      </c>
      <c r="O20" s="9" t="n">
        <f aca="false">$C$5-G20</f>
        <v>16</v>
      </c>
      <c r="P20" s="3" t="n">
        <f aca="false">H20/O20</f>
        <v>3545.44375</v>
      </c>
      <c r="Q20" s="2" t="str">
        <f aca="false">IF(G20&lt;2010,"Legacy (pre-2010)",IF(G20&lt;=2017,"Established (2010-2017)","Emerging (2018+)"))</f>
        <v>Established (2010-2017)</v>
      </c>
    </row>
    <row r="21" customFormat="false" ht="15" hidden="false" customHeight="false" outlineLevel="0" collapsed="false">
      <c r="A21" s="2" t="s">
        <v>40</v>
      </c>
      <c r="B21" s="2" t="s">
        <v>15</v>
      </c>
      <c r="C21" s="2" t="s">
        <v>22</v>
      </c>
      <c r="D21" s="2" t="s">
        <v>17</v>
      </c>
      <c r="E21" s="2" t="s">
        <v>18</v>
      </c>
      <c r="F21" s="2" t="s">
        <v>19</v>
      </c>
      <c r="G21" s="2" t="n">
        <v>2009</v>
      </c>
      <c r="H21" s="3" t="n">
        <v>56459.5</v>
      </c>
      <c r="I21" s="3" t="n">
        <v>40752.2</v>
      </c>
      <c r="J21" s="3" t="n">
        <v>15725</v>
      </c>
      <c r="K21" s="3" t="n">
        <v>23403.5</v>
      </c>
      <c r="L21" s="4" t="n">
        <v>41.45183716</v>
      </c>
      <c r="M21" s="3" t="n">
        <v>33056</v>
      </c>
      <c r="N21" s="4" t="n">
        <v>58.54816284</v>
      </c>
      <c r="O21" s="9" t="n">
        <f aca="false">$C$5-G21</f>
        <v>17</v>
      </c>
      <c r="P21" s="3" t="n">
        <f aca="false">H21/O21</f>
        <v>3321.14705882353</v>
      </c>
      <c r="Q21" s="2" t="str">
        <f aca="false">IF(G21&lt;2010,"Legacy (pre-2010)",IF(G21&lt;=2017,"Established (2010-2017)","Emerging (2018+)"))</f>
        <v>Legacy (pre-2010)</v>
      </c>
    </row>
    <row r="22" customFormat="false" ht="15" hidden="false" customHeight="false" outlineLevel="0" collapsed="false">
      <c r="A22" s="2" t="s">
        <v>41</v>
      </c>
      <c r="B22" s="2" t="s">
        <v>15</v>
      </c>
      <c r="C22" s="2" t="s">
        <v>22</v>
      </c>
      <c r="D22" s="2" t="s">
        <v>17</v>
      </c>
      <c r="E22" s="2" t="s">
        <v>23</v>
      </c>
      <c r="F22" s="2" t="s">
        <v>19</v>
      </c>
      <c r="G22" s="2" t="n">
        <v>2011</v>
      </c>
      <c r="H22" s="3" t="n">
        <v>55028.3</v>
      </c>
      <c r="I22" s="3" t="n">
        <v>48805.6</v>
      </c>
      <c r="J22" s="3" t="n">
        <v>6235.6</v>
      </c>
      <c r="K22" s="3" t="n">
        <v>25419.4</v>
      </c>
      <c r="L22" s="4" t="n">
        <v>46.19332235</v>
      </c>
      <c r="M22" s="3" t="n">
        <v>29608.9</v>
      </c>
      <c r="N22" s="4" t="n">
        <v>53.80667765</v>
      </c>
      <c r="O22" s="9" t="n">
        <f aca="false">$C$5-G22</f>
        <v>15</v>
      </c>
      <c r="P22" s="3" t="n">
        <f aca="false">H22/O22</f>
        <v>3668.55333333333</v>
      </c>
      <c r="Q22" s="2" t="str">
        <f aca="false">IF(G22&lt;2010,"Legacy (pre-2010)",IF(G22&lt;=2017,"Established (2010-2017)","Emerging (2018+)"))</f>
        <v>Established (2010-2017)</v>
      </c>
    </row>
    <row r="23" customFormat="false" ht="15" hidden="false" customHeight="false" outlineLevel="0" collapsed="false">
      <c r="A23" s="2" t="s">
        <v>42</v>
      </c>
      <c r="B23" s="2" t="s">
        <v>15</v>
      </c>
      <c r="C23" s="2" t="s">
        <v>43</v>
      </c>
      <c r="D23" s="2" t="s">
        <v>25</v>
      </c>
      <c r="E23" s="2" t="s">
        <v>26</v>
      </c>
      <c r="F23" s="2" t="s">
        <v>19</v>
      </c>
      <c r="G23" s="2" t="n">
        <v>2004</v>
      </c>
      <c r="H23" s="3" t="n">
        <v>54649.2</v>
      </c>
      <c r="I23" s="3" t="n">
        <v>25333.3</v>
      </c>
      <c r="J23" s="3" t="n">
        <v>29334</v>
      </c>
      <c r="K23" s="3" t="n">
        <v>7844.5</v>
      </c>
      <c r="L23" s="4" t="n">
        <v>14.35428149</v>
      </c>
      <c r="M23" s="3" t="n">
        <v>46804.7</v>
      </c>
      <c r="N23" s="4" t="n">
        <v>85.64571851</v>
      </c>
      <c r="O23" s="9" t="n">
        <f aca="false">$C$5-G23</f>
        <v>22</v>
      </c>
      <c r="P23" s="3" t="n">
        <f aca="false">H23/O23</f>
        <v>2484.05454545455</v>
      </c>
      <c r="Q23" s="2" t="str">
        <f aca="false">IF(G23&lt;2010,"Legacy (pre-2010)",IF(G23&lt;=2017,"Established (2010-2017)","Emerging (2018+)"))</f>
        <v>Legacy (pre-2010)</v>
      </c>
    </row>
    <row r="24" customFormat="false" ht="15" hidden="false" customHeight="false" outlineLevel="0" collapsed="false">
      <c r="A24" s="2" t="s">
        <v>44</v>
      </c>
      <c r="B24" s="2" t="s">
        <v>15</v>
      </c>
      <c r="C24" s="2" t="s">
        <v>22</v>
      </c>
      <c r="D24" s="2" t="s">
        <v>17</v>
      </c>
      <c r="E24" s="2" t="s">
        <v>18</v>
      </c>
      <c r="F24" s="2" t="s">
        <v>19</v>
      </c>
      <c r="G24" s="2" t="n">
        <v>2010</v>
      </c>
      <c r="H24" s="3" t="n">
        <v>53951.5</v>
      </c>
      <c r="I24" s="3" t="n">
        <v>27879</v>
      </c>
      <c r="J24" s="3" t="n">
        <v>26072.5</v>
      </c>
      <c r="K24" s="3" t="n">
        <v>12647.5</v>
      </c>
      <c r="L24" s="4" t="n">
        <v>23.442351</v>
      </c>
      <c r="M24" s="3" t="n">
        <v>41304</v>
      </c>
      <c r="N24" s="4" t="n">
        <v>76.557649</v>
      </c>
      <c r="O24" s="9" t="n">
        <f aca="false">$C$5-G24</f>
        <v>16</v>
      </c>
      <c r="P24" s="3" t="n">
        <f aca="false">H24/O24</f>
        <v>3371.96875</v>
      </c>
      <c r="Q24" s="2" t="str">
        <f aca="false">IF(G24&lt;2010,"Legacy (pre-2010)",IF(G24&lt;=2017,"Established (2010-2017)","Emerging (2018+)"))</f>
        <v>Established (2010-2017)</v>
      </c>
    </row>
    <row r="25" customFormat="false" ht="15" hidden="false" customHeight="false" outlineLevel="0" collapsed="false">
      <c r="A25" s="2" t="s">
        <v>45</v>
      </c>
      <c r="B25" s="2" t="s">
        <v>15</v>
      </c>
      <c r="C25" s="2" t="s">
        <v>46</v>
      </c>
      <c r="D25" s="2" t="s">
        <v>47</v>
      </c>
      <c r="E25" s="2" t="s">
        <v>48</v>
      </c>
      <c r="F25" s="2" t="s">
        <v>49</v>
      </c>
      <c r="G25" s="2" t="n">
        <v>2013</v>
      </c>
      <c r="H25" s="3" t="n">
        <v>53308.9</v>
      </c>
      <c r="I25" s="3" t="n">
        <v>47969.9</v>
      </c>
      <c r="J25" s="3" t="n">
        <v>5339</v>
      </c>
      <c r="K25" s="3" t="n">
        <v>44114.4</v>
      </c>
      <c r="L25" s="4" t="n">
        <v>82.75241095</v>
      </c>
      <c r="M25" s="3" t="n">
        <v>9194.5</v>
      </c>
      <c r="N25" s="4" t="n">
        <v>17.24758905</v>
      </c>
      <c r="O25" s="9" t="n">
        <f aca="false">$C$5-G25</f>
        <v>13</v>
      </c>
      <c r="P25" s="3" t="n">
        <f aca="false">H25/O25</f>
        <v>4100.68461538462</v>
      </c>
      <c r="Q25" s="2" t="str">
        <f aca="false">IF(G25&lt;2010,"Legacy (pre-2010)",IF(G25&lt;=2017,"Established (2010-2017)","Emerging (2018+)"))</f>
        <v>Established (2010-2017)</v>
      </c>
    </row>
    <row r="26" customFormat="false" ht="15" hidden="false" customHeight="false" outlineLevel="0" collapsed="false">
      <c r="A26" s="2" t="s">
        <v>50</v>
      </c>
      <c r="B26" s="2" t="s">
        <v>15</v>
      </c>
      <c r="C26" s="2" t="s">
        <v>22</v>
      </c>
      <c r="D26" s="2" t="s">
        <v>25</v>
      </c>
      <c r="E26" s="2" t="s">
        <v>26</v>
      </c>
      <c r="F26" s="2" t="s">
        <v>19</v>
      </c>
      <c r="G26" s="2" t="n">
        <v>2012</v>
      </c>
      <c r="H26" s="3" t="n">
        <v>47649.2</v>
      </c>
      <c r="I26" s="3" t="n">
        <v>20247.1</v>
      </c>
      <c r="J26" s="3" t="n">
        <v>27418.9</v>
      </c>
      <c r="K26" s="3" t="n">
        <v>8621.1</v>
      </c>
      <c r="L26" s="4" t="n">
        <v>18.09285361</v>
      </c>
      <c r="M26" s="3" t="n">
        <v>39028.1</v>
      </c>
      <c r="N26" s="4" t="n">
        <v>81.90714639</v>
      </c>
      <c r="O26" s="9" t="n">
        <f aca="false">$C$5-G26</f>
        <v>14</v>
      </c>
      <c r="P26" s="3" t="n">
        <f aca="false">H26/O26</f>
        <v>3403.51428571429</v>
      </c>
      <c r="Q26" s="2" t="str">
        <f aca="false">IF(G26&lt;2010,"Legacy (pre-2010)",IF(G26&lt;=2017,"Established (2010-2017)","Emerging (2018+)"))</f>
        <v>Established (2010-2017)</v>
      </c>
    </row>
    <row r="27" customFormat="false" ht="15" hidden="false" customHeight="false" outlineLevel="0" collapsed="false">
      <c r="A27" s="2" t="s">
        <v>51</v>
      </c>
      <c r="B27" s="2" t="s">
        <v>15</v>
      </c>
      <c r="C27" s="2" t="s">
        <v>34</v>
      </c>
      <c r="D27" s="2" t="s">
        <v>17</v>
      </c>
      <c r="E27" s="2" t="s">
        <v>52</v>
      </c>
      <c r="F27" s="2" t="s">
        <v>49</v>
      </c>
      <c r="G27" s="2" t="n">
        <v>1999</v>
      </c>
      <c r="H27" s="3" t="n">
        <v>46720.4</v>
      </c>
      <c r="I27" s="3" t="n">
        <v>42837.1</v>
      </c>
      <c r="J27" s="3" t="n">
        <v>3901.3</v>
      </c>
      <c r="K27" s="3" t="n">
        <v>38535.2</v>
      </c>
      <c r="L27" s="4" t="n">
        <v>82.48045822</v>
      </c>
      <c r="M27" s="3" t="n">
        <v>8185.2</v>
      </c>
      <c r="N27" s="4" t="n">
        <v>17.51954178</v>
      </c>
      <c r="O27" s="9" t="n">
        <f aca="false">$C$5-G27</f>
        <v>27</v>
      </c>
      <c r="P27" s="3" t="n">
        <f aca="false">H27/O27</f>
        <v>1730.38518518519</v>
      </c>
      <c r="Q27" s="2" t="str">
        <f aca="false">IF(G27&lt;2010,"Legacy (pre-2010)",IF(G27&lt;=2017,"Established (2010-2017)","Emerging (2018+)"))</f>
        <v>Legacy (pre-2010)</v>
      </c>
    </row>
    <row r="28" customFormat="false" ht="15" hidden="false" customHeight="false" outlineLevel="0" collapsed="false">
      <c r="A28" s="2" t="s">
        <v>53</v>
      </c>
      <c r="B28" s="2" t="s">
        <v>15</v>
      </c>
      <c r="C28" s="2" t="s">
        <v>22</v>
      </c>
      <c r="D28" s="2" t="s">
        <v>17</v>
      </c>
      <c r="E28" s="2" t="s">
        <v>18</v>
      </c>
      <c r="F28" s="2" t="s">
        <v>19</v>
      </c>
      <c r="G28" s="2" t="n">
        <v>2015</v>
      </c>
      <c r="H28" s="3" t="n">
        <v>46276.4</v>
      </c>
      <c r="I28" s="3" t="n">
        <v>34132.1</v>
      </c>
      <c r="J28" s="3" t="n">
        <v>12155.1</v>
      </c>
      <c r="K28" s="3" t="n">
        <v>26675.7</v>
      </c>
      <c r="L28" s="4" t="n">
        <v>57.64428521</v>
      </c>
      <c r="M28" s="3" t="n">
        <v>19600.7</v>
      </c>
      <c r="N28" s="4" t="n">
        <v>42.35571479</v>
      </c>
      <c r="O28" s="9" t="n">
        <f aca="false">$C$5-G28</f>
        <v>11</v>
      </c>
      <c r="P28" s="3" t="n">
        <f aca="false">H28/O28</f>
        <v>4206.94545454546</v>
      </c>
      <c r="Q28" s="2" t="str">
        <f aca="false">IF(G28&lt;2010,"Legacy (pre-2010)",IF(G28&lt;=2017,"Established (2010-2017)","Emerging (2018+)"))</f>
        <v>Established (2010-2017)</v>
      </c>
    </row>
    <row r="29" customFormat="false" ht="15" hidden="false" customHeight="false" outlineLevel="0" collapsed="false">
      <c r="A29" s="2" t="s">
        <v>54</v>
      </c>
      <c r="B29" s="2" t="s">
        <v>15</v>
      </c>
      <c r="C29" s="2" t="s">
        <v>22</v>
      </c>
      <c r="D29" s="2" t="s">
        <v>17</v>
      </c>
      <c r="E29" s="2" t="s">
        <v>28</v>
      </c>
      <c r="F29" s="2" t="s">
        <v>19</v>
      </c>
      <c r="G29" s="2" t="n">
        <v>2005</v>
      </c>
      <c r="H29" s="3" t="n">
        <v>43963.8</v>
      </c>
      <c r="I29" s="3" t="n">
        <v>24455.7</v>
      </c>
      <c r="J29" s="3" t="n">
        <v>19523.9</v>
      </c>
      <c r="K29" s="3" t="n">
        <v>12219.3</v>
      </c>
      <c r="L29" s="4" t="n">
        <v>27.79400325</v>
      </c>
      <c r="M29" s="3" t="n">
        <v>31744.5</v>
      </c>
      <c r="N29" s="4" t="n">
        <v>72.20599675</v>
      </c>
      <c r="O29" s="9" t="n">
        <f aca="false">$C$5-G29</f>
        <v>21</v>
      </c>
      <c r="P29" s="3" t="n">
        <f aca="false">H29/O29</f>
        <v>2093.51428571429</v>
      </c>
      <c r="Q29" s="2" t="str">
        <f aca="false">IF(G29&lt;2010,"Legacy (pre-2010)",IF(G29&lt;=2017,"Established (2010-2017)","Emerging (2018+)"))</f>
        <v>Legacy (pre-2010)</v>
      </c>
    </row>
    <row r="30" customFormat="false" ht="15" hidden="false" customHeight="false" outlineLevel="0" collapsed="false">
      <c r="A30" s="2" t="s">
        <v>55</v>
      </c>
      <c r="B30" s="2" t="s">
        <v>21</v>
      </c>
      <c r="C30" s="2" t="s">
        <v>56</v>
      </c>
      <c r="D30" s="2" t="s">
        <v>17</v>
      </c>
      <c r="E30" s="2" t="s">
        <v>18</v>
      </c>
      <c r="F30" s="2" t="s">
        <v>19</v>
      </c>
      <c r="G30" s="2" t="n">
        <v>2007</v>
      </c>
      <c r="H30" s="3" t="n">
        <v>43330.3</v>
      </c>
      <c r="I30" s="3" t="n">
        <v>16316.4</v>
      </c>
      <c r="J30" s="3" t="n">
        <v>27027.9</v>
      </c>
      <c r="K30" s="3" t="n">
        <v>9618.2</v>
      </c>
      <c r="L30" s="4" t="n">
        <v>22.19739997</v>
      </c>
      <c r="M30" s="3" t="n">
        <v>33712.1</v>
      </c>
      <c r="N30" s="4" t="n">
        <v>77.80260003</v>
      </c>
      <c r="O30" s="9" t="n">
        <f aca="false">$C$5-G30</f>
        <v>19</v>
      </c>
      <c r="P30" s="3" t="n">
        <f aca="false">H30/O30</f>
        <v>2280.54210526316</v>
      </c>
      <c r="Q30" s="2" t="str">
        <f aca="false">IF(G30&lt;2010,"Legacy (pre-2010)",IF(G30&lt;=2017,"Established (2010-2017)","Emerging (2018+)"))</f>
        <v>Legacy (pre-2010)</v>
      </c>
    </row>
    <row r="31" customFormat="false" ht="15" hidden="false" customHeight="false" outlineLevel="0" collapsed="false">
      <c r="A31" s="2" t="s">
        <v>57</v>
      </c>
      <c r="B31" s="2" t="s">
        <v>21</v>
      </c>
      <c r="C31" s="2" t="s">
        <v>22</v>
      </c>
      <c r="D31" s="2" t="s">
        <v>17</v>
      </c>
      <c r="E31" s="2" t="s">
        <v>58</v>
      </c>
      <c r="F31" s="2" t="s">
        <v>19</v>
      </c>
      <c r="G31" s="2" t="n">
        <v>2010</v>
      </c>
      <c r="H31" s="3" t="n">
        <v>42464.1</v>
      </c>
      <c r="I31" s="3" t="n">
        <v>38477.3</v>
      </c>
      <c r="J31" s="3" t="n">
        <v>3986.8</v>
      </c>
      <c r="K31" s="3" t="n">
        <v>34578.4</v>
      </c>
      <c r="L31" s="4" t="n">
        <v>81.42972534</v>
      </c>
      <c r="M31" s="3" t="n">
        <v>7885.7</v>
      </c>
      <c r="N31" s="4" t="n">
        <v>18.57027466</v>
      </c>
      <c r="O31" s="9" t="n">
        <f aca="false">$C$5-G31</f>
        <v>16</v>
      </c>
      <c r="P31" s="3" t="n">
        <f aca="false">H31/O31</f>
        <v>2654.00625</v>
      </c>
      <c r="Q31" s="2" t="str">
        <f aca="false">IF(G31&lt;2010,"Legacy (pre-2010)",IF(G31&lt;=2017,"Established (2010-2017)","Emerging (2018+)"))</f>
        <v>Established (2010-2017)</v>
      </c>
    </row>
    <row r="32" customFormat="false" ht="15" hidden="false" customHeight="false" outlineLevel="0" collapsed="false">
      <c r="A32" s="2" t="s">
        <v>59</v>
      </c>
      <c r="B32" s="2" t="s">
        <v>15</v>
      </c>
      <c r="C32" s="2" t="s">
        <v>60</v>
      </c>
      <c r="D32" s="2" t="s">
        <v>17</v>
      </c>
      <c r="E32" s="2" t="s">
        <v>61</v>
      </c>
      <c r="F32" s="2" t="s">
        <v>19</v>
      </c>
      <c r="G32" s="2" t="n">
        <v>1990</v>
      </c>
      <c r="H32" s="3" t="n">
        <v>42059.5</v>
      </c>
      <c r="I32" s="3" t="n">
        <v>30750.8</v>
      </c>
      <c r="J32" s="3" t="n">
        <v>11325.3</v>
      </c>
      <c r="K32" s="3" t="n">
        <v>406.8</v>
      </c>
      <c r="L32" s="4" t="n">
        <v>0.9672012268</v>
      </c>
      <c r="M32" s="3" t="n">
        <v>41652.7</v>
      </c>
      <c r="N32" s="4" t="n">
        <v>99.03279877</v>
      </c>
      <c r="O32" s="9" t="n">
        <f aca="false">$C$5-G32</f>
        <v>36</v>
      </c>
      <c r="P32" s="3" t="n">
        <f aca="false">H32/O32</f>
        <v>1168.31944444444</v>
      </c>
      <c r="Q32" s="2" t="str">
        <f aca="false">IF(G32&lt;2010,"Legacy (pre-2010)",IF(G32&lt;=2017,"Established (2010-2017)","Emerging (2018+)"))</f>
        <v>Legacy (pre-2010)</v>
      </c>
    </row>
    <row r="33" customFormat="false" ht="15" hidden="false" customHeight="false" outlineLevel="0" collapsed="false">
      <c r="A33" s="2" t="s">
        <v>62</v>
      </c>
      <c r="B33" s="2" t="s">
        <v>21</v>
      </c>
      <c r="C33" s="2" t="s">
        <v>34</v>
      </c>
      <c r="D33" s="2" t="s">
        <v>17</v>
      </c>
      <c r="E33" s="2" t="s">
        <v>23</v>
      </c>
      <c r="F33" s="2" t="s">
        <v>19</v>
      </c>
      <c r="G33" s="2" t="n">
        <v>2015</v>
      </c>
      <c r="H33" s="3" t="n">
        <v>41944.1</v>
      </c>
      <c r="I33" s="3" t="n">
        <v>28269.7</v>
      </c>
      <c r="J33" s="3" t="n">
        <v>13687.6</v>
      </c>
      <c r="K33" s="3" t="n">
        <v>23133.7</v>
      </c>
      <c r="L33" s="4" t="n">
        <v>55.15364497</v>
      </c>
      <c r="M33" s="3" t="n">
        <v>18810.4</v>
      </c>
      <c r="N33" s="4" t="n">
        <v>44.84635503</v>
      </c>
      <c r="O33" s="9" t="n">
        <f aca="false">$C$5-G33</f>
        <v>11</v>
      </c>
      <c r="P33" s="3" t="n">
        <f aca="false">H33/O33</f>
        <v>3813.1</v>
      </c>
      <c r="Q33" s="2" t="str">
        <f aca="false">IF(G33&lt;2010,"Legacy (pre-2010)",IF(G33&lt;=2017,"Established (2010-2017)","Emerging (2018+)"))</f>
        <v>Established (2010-2017)</v>
      </c>
    </row>
    <row r="34" customFormat="false" ht="15" hidden="false" customHeight="false" outlineLevel="0" collapsed="false">
      <c r="A34" s="2" t="s">
        <v>63</v>
      </c>
      <c r="B34" s="2" t="s">
        <v>15</v>
      </c>
      <c r="C34" s="2" t="s">
        <v>22</v>
      </c>
      <c r="D34" s="2" t="s">
        <v>25</v>
      </c>
      <c r="E34" s="2" t="s">
        <v>26</v>
      </c>
      <c r="F34" s="2" t="s">
        <v>19</v>
      </c>
      <c r="G34" s="2" t="n">
        <v>1991</v>
      </c>
      <c r="H34" s="3" t="n">
        <v>41405.4</v>
      </c>
      <c r="I34" s="3" t="n">
        <v>19772.1</v>
      </c>
      <c r="J34" s="3" t="n">
        <v>21650</v>
      </c>
      <c r="K34" s="3" t="n">
        <v>10692.8</v>
      </c>
      <c r="L34" s="4" t="n">
        <v>25.82465089</v>
      </c>
      <c r="M34" s="3" t="n">
        <v>30712.6</v>
      </c>
      <c r="N34" s="4" t="n">
        <v>74.17534911</v>
      </c>
      <c r="O34" s="9" t="n">
        <f aca="false">$C$5-G34</f>
        <v>35</v>
      </c>
      <c r="P34" s="3" t="n">
        <f aca="false">H34/O34</f>
        <v>1183.01142857143</v>
      </c>
      <c r="Q34" s="2" t="str">
        <f aca="false">IF(G34&lt;2010,"Legacy (pre-2010)",IF(G34&lt;=2017,"Established (2010-2017)","Emerging (2018+)"))</f>
        <v>Legacy (pre-2010)</v>
      </c>
    </row>
    <row r="35" customFormat="false" ht="15" hidden="false" customHeight="false" outlineLevel="0" collapsed="false">
      <c r="A35" s="2" t="s">
        <v>64</v>
      </c>
      <c r="B35" s="2" t="s">
        <v>15</v>
      </c>
      <c r="C35" s="2" t="s">
        <v>22</v>
      </c>
      <c r="D35" s="2" t="s">
        <v>25</v>
      </c>
      <c r="E35" s="2" t="s">
        <v>26</v>
      </c>
      <c r="F35" s="2" t="s">
        <v>19</v>
      </c>
      <c r="G35" s="2" t="n">
        <v>2014</v>
      </c>
      <c r="H35" s="3" t="n">
        <v>40738.6</v>
      </c>
      <c r="I35" s="3" t="n">
        <v>24898</v>
      </c>
      <c r="J35" s="3" t="n">
        <v>15857.7</v>
      </c>
      <c r="K35" s="3" t="n">
        <v>10432.5</v>
      </c>
      <c r="L35" s="4" t="n">
        <v>25.60839106</v>
      </c>
      <c r="M35" s="3" t="n">
        <v>30306.1</v>
      </c>
      <c r="N35" s="4" t="n">
        <v>74.39160894</v>
      </c>
      <c r="O35" s="9" t="n">
        <f aca="false">$C$5-G35</f>
        <v>12</v>
      </c>
      <c r="P35" s="3" t="n">
        <f aca="false">H35/O35</f>
        <v>3394.88333333333</v>
      </c>
      <c r="Q35" s="2" t="str">
        <f aca="false">IF(G35&lt;2010,"Legacy (pre-2010)",IF(G35&lt;=2017,"Established (2010-2017)","Emerging (2018+)"))</f>
        <v>Established (2010-2017)</v>
      </c>
    </row>
    <row r="36" customFormat="false" ht="15" hidden="false" customHeight="false" outlineLevel="0" collapsed="false">
      <c r="A36" s="2" t="s">
        <v>65</v>
      </c>
      <c r="B36" s="2" t="s">
        <v>15</v>
      </c>
      <c r="C36" s="2" t="s">
        <v>22</v>
      </c>
      <c r="D36" s="2" t="s">
        <v>25</v>
      </c>
      <c r="E36" s="2" t="s">
        <v>26</v>
      </c>
      <c r="F36" s="2" t="s">
        <v>19</v>
      </c>
      <c r="G36" s="2" t="n">
        <v>2011</v>
      </c>
      <c r="H36" s="3" t="n">
        <v>40453.3</v>
      </c>
      <c r="I36" s="3" t="n">
        <v>18355.6</v>
      </c>
      <c r="J36" s="3" t="n">
        <v>22118.9</v>
      </c>
      <c r="K36" s="3" t="n">
        <v>6177</v>
      </c>
      <c r="L36" s="4" t="n">
        <v>15.26945886</v>
      </c>
      <c r="M36" s="3" t="n">
        <v>34276.3</v>
      </c>
      <c r="N36" s="4" t="n">
        <v>84.73054114</v>
      </c>
      <c r="O36" s="9" t="n">
        <f aca="false">$C$5-G36</f>
        <v>15</v>
      </c>
      <c r="P36" s="3" t="n">
        <f aca="false">H36/O36</f>
        <v>2696.88666666667</v>
      </c>
      <c r="Q36" s="2" t="str">
        <f aca="false">IF(G36&lt;2010,"Legacy (pre-2010)",IF(G36&lt;=2017,"Established (2010-2017)","Emerging (2018+)"))</f>
        <v>Established (2010-2017)</v>
      </c>
    </row>
    <row r="37" customFormat="false" ht="15" hidden="false" customHeight="false" outlineLevel="0" collapsed="false">
      <c r="A37" s="2" t="s">
        <v>66</v>
      </c>
      <c r="B37" s="2" t="s">
        <v>15</v>
      </c>
      <c r="C37" s="2" t="s">
        <v>22</v>
      </c>
      <c r="D37" s="2" t="s">
        <v>17</v>
      </c>
      <c r="E37" s="2" t="s">
        <v>18</v>
      </c>
      <c r="F37" s="2" t="s">
        <v>19</v>
      </c>
      <c r="G37" s="2" t="n">
        <v>2013</v>
      </c>
      <c r="H37" s="3" t="n">
        <v>40411.3</v>
      </c>
      <c r="I37" s="3" t="n">
        <v>34419.9</v>
      </c>
      <c r="J37" s="3" t="n">
        <v>5998.9</v>
      </c>
      <c r="K37" s="3" t="n">
        <v>28138.4</v>
      </c>
      <c r="L37" s="4" t="n">
        <v>69.63002922</v>
      </c>
      <c r="M37" s="3" t="n">
        <v>12272.9</v>
      </c>
      <c r="N37" s="4" t="n">
        <v>30.36997078</v>
      </c>
      <c r="O37" s="9" t="n">
        <f aca="false">$C$5-G37</f>
        <v>13</v>
      </c>
      <c r="P37" s="3" t="n">
        <f aca="false">H37/O37</f>
        <v>3108.56153846154</v>
      </c>
      <c r="Q37" s="2" t="str">
        <f aca="false">IF(G37&lt;2010,"Legacy (pre-2010)",IF(G37&lt;=2017,"Established (2010-2017)","Emerging (2018+)"))</f>
        <v>Established (2010-2017)</v>
      </c>
    </row>
    <row r="38" customFormat="false" ht="15" hidden="false" customHeight="false" outlineLevel="0" collapsed="false">
      <c r="A38" s="2" t="s">
        <v>67</v>
      </c>
      <c r="B38" s="2" t="s">
        <v>15</v>
      </c>
      <c r="C38" s="2" t="s">
        <v>22</v>
      </c>
      <c r="D38" s="2" t="s">
        <v>17</v>
      </c>
      <c r="E38" s="2" t="s">
        <v>52</v>
      </c>
      <c r="F38" s="2" t="s">
        <v>49</v>
      </c>
      <c r="G38" s="2" t="n">
        <v>2012</v>
      </c>
      <c r="H38" s="3" t="n">
        <v>40279.5</v>
      </c>
      <c r="I38" s="3" t="n">
        <v>38006.7</v>
      </c>
      <c r="J38" s="3" t="n">
        <v>2283.2</v>
      </c>
      <c r="K38" s="3" t="n">
        <v>33880.4</v>
      </c>
      <c r="L38" s="4" t="n">
        <v>84.11325861</v>
      </c>
      <c r="M38" s="3" t="n">
        <v>6399.1</v>
      </c>
      <c r="N38" s="4" t="n">
        <v>15.88674139</v>
      </c>
      <c r="O38" s="9" t="n">
        <f aca="false">$C$5-G38</f>
        <v>14</v>
      </c>
      <c r="P38" s="3" t="n">
        <f aca="false">H38/O38</f>
        <v>2877.10714285714</v>
      </c>
      <c r="Q38" s="2" t="str">
        <f aca="false">IF(G38&lt;2010,"Legacy (pre-2010)",IF(G38&lt;=2017,"Established (2010-2017)","Emerging (2018+)"))</f>
        <v>Established (2010-2017)</v>
      </c>
    </row>
    <row r="39" customFormat="false" ht="15" hidden="false" customHeight="false" outlineLevel="0" collapsed="false">
      <c r="A39" s="2" t="s">
        <v>68</v>
      </c>
      <c r="B39" s="2" t="s">
        <v>15</v>
      </c>
      <c r="C39" s="2" t="s">
        <v>22</v>
      </c>
      <c r="D39" s="2" t="s">
        <v>17</v>
      </c>
      <c r="E39" s="2" t="s">
        <v>18</v>
      </c>
      <c r="F39" s="2" t="s">
        <v>19</v>
      </c>
      <c r="G39" s="2" t="n">
        <v>1997</v>
      </c>
      <c r="H39" s="3" t="n">
        <v>40148.2</v>
      </c>
      <c r="I39" s="3" t="n">
        <v>15870.4</v>
      </c>
      <c r="J39" s="3" t="n">
        <v>24279.9</v>
      </c>
      <c r="K39" s="3" t="n">
        <v>4050.9</v>
      </c>
      <c r="L39" s="4" t="n">
        <v>10.08986704</v>
      </c>
      <c r="M39" s="3" t="n">
        <v>36097.3</v>
      </c>
      <c r="N39" s="4" t="n">
        <v>89.91013296</v>
      </c>
      <c r="O39" s="9" t="n">
        <f aca="false">$C$5-G39</f>
        <v>29</v>
      </c>
      <c r="P39" s="3" t="n">
        <f aca="false">H39/O39</f>
        <v>1384.42068965517</v>
      </c>
      <c r="Q39" s="2" t="str">
        <f aca="false">IF(G39&lt;2010,"Legacy (pre-2010)",IF(G39&lt;=2017,"Established (2010-2017)","Emerging (2018+)"))</f>
        <v>Legacy (pre-2010)</v>
      </c>
    </row>
    <row r="40" customFormat="false" ht="15" hidden="false" customHeight="false" outlineLevel="0" collapsed="false">
      <c r="A40" s="2" t="s">
        <v>69</v>
      </c>
      <c r="B40" s="2" t="s">
        <v>15</v>
      </c>
      <c r="C40" s="2" t="s">
        <v>34</v>
      </c>
      <c r="D40" s="2" t="s">
        <v>17</v>
      </c>
      <c r="E40" s="2" t="s">
        <v>18</v>
      </c>
      <c r="F40" s="2" t="s">
        <v>19</v>
      </c>
      <c r="G40" s="2" t="n">
        <v>2014</v>
      </c>
      <c r="H40" s="3" t="n">
        <v>39024.3</v>
      </c>
      <c r="I40" s="3" t="n">
        <v>15878</v>
      </c>
      <c r="J40" s="3" t="n">
        <v>23155.6</v>
      </c>
      <c r="K40" s="3" t="n">
        <v>7883.1</v>
      </c>
      <c r="L40" s="4" t="n">
        <v>20.20049046</v>
      </c>
      <c r="M40" s="3" t="n">
        <v>31141.2</v>
      </c>
      <c r="N40" s="4" t="n">
        <v>79.79950954</v>
      </c>
      <c r="O40" s="9" t="n">
        <f aca="false">$C$5-G40</f>
        <v>12</v>
      </c>
      <c r="P40" s="3" t="n">
        <f aca="false">H40/O40</f>
        <v>3252.025</v>
      </c>
      <c r="Q40" s="2" t="str">
        <f aca="false">IF(G40&lt;2010,"Legacy (pre-2010)",IF(G40&lt;=2017,"Established (2010-2017)","Emerging (2018+)"))</f>
        <v>Established (2010-2017)</v>
      </c>
    </row>
    <row r="41" customFormat="false" ht="15" hidden="false" customHeight="false" outlineLevel="0" collapsed="false">
      <c r="A41" s="2" t="s">
        <v>70</v>
      </c>
      <c r="B41" s="2" t="s">
        <v>21</v>
      </c>
      <c r="C41" s="2" t="s">
        <v>22</v>
      </c>
      <c r="D41" s="2" t="s">
        <v>17</v>
      </c>
      <c r="E41" s="2" t="s">
        <v>28</v>
      </c>
      <c r="F41" s="2" t="s">
        <v>19</v>
      </c>
      <c r="G41" s="2" t="n">
        <v>2012</v>
      </c>
      <c r="H41" s="3" t="n">
        <v>38879.6</v>
      </c>
      <c r="I41" s="3" t="n">
        <v>25267.5</v>
      </c>
      <c r="J41" s="3" t="n">
        <v>13627.2</v>
      </c>
      <c r="K41" s="3" t="n">
        <v>19804.6</v>
      </c>
      <c r="L41" s="4" t="n">
        <v>50.93828126</v>
      </c>
      <c r="M41" s="3" t="n">
        <v>19075</v>
      </c>
      <c r="N41" s="4" t="n">
        <v>49.06171874</v>
      </c>
      <c r="O41" s="9" t="n">
        <f aca="false">$C$5-G41</f>
        <v>14</v>
      </c>
      <c r="P41" s="3" t="n">
        <f aca="false">H41/O41</f>
        <v>2777.11428571429</v>
      </c>
      <c r="Q41" s="2" t="str">
        <f aca="false">IF(G41&lt;2010,"Legacy (pre-2010)",IF(G41&lt;=2017,"Established (2010-2017)","Emerging (2018+)"))</f>
        <v>Established (2010-2017)</v>
      </c>
    </row>
    <row r="42" customFormat="false" ht="15" hidden="false" customHeight="false" outlineLevel="0" collapsed="false">
      <c r="A42" s="2" t="s">
        <v>71</v>
      </c>
      <c r="B42" s="2" t="s">
        <v>15</v>
      </c>
      <c r="C42" s="2" t="s">
        <v>72</v>
      </c>
      <c r="D42" s="2" t="s">
        <v>73</v>
      </c>
      <c r="E42" s="2" t="s">
        <v>74</v>
      </c>
      <c r="F42" s="2" t="s">
        <v>19</v>
      </c>
      <c r="G42" s="2" t="n">
        <v>2011</v>
      </c>
      <c r="H42" s="3" t="n">
        <v>37687.8</v>
      </c>
      <c r="I42" s="3" t="n">
        <v>13330.4</v>
      </c>
      <c r="J42" s="3" t="n">
        <v>24384.8</v>
      </c>
      <c r="K42" s="3" t="n">
        <v>4537.4</v>
      </c>
      <c r="L42" s="4" t="n">
        <v>12.03943982</v>
      </c>
      <c r="M42" s="3" t="n">
        <v>33150.4</v>
      </c>
      <c r="N42" s="4" t="n">
        <v>87.96056018</v>
      </c>
      <c r="O42" s="9" t="n">
        <f aca="false">$C$5-G42</f>
        <v>15</v>
      </c>
      <c r="P42" s="3" t="n">
        <f aca="false">H42/O42</f>
        <v>2512.52</v>
      </c>
      <c r="Q42" s="2" t="str">
        <f aca="false">IF(G42&lt;2010,"Legacy (pre-2010)",IF(G42&lt;=2017,"Established (2010-2017)","Emerging (2018+)"))</f>
        <v>Established (2010-2017)</v>
      </c>
    </row>
    <row r="43" customFormat="false" ht="15" hidden="false" customHeight="false" outlineLevel="0" collapsed="false">
      <c r="A43" s="2" t="s">
        <v>75</v>
      </c>
      <c r="B43" s="2" t="s">
        <v>21</v>
      </c>
      <c r="C43" s="2" t="s">
        <v>22</v>
      </c>
      <c r="D43" s="2" t="s">
        <v>17</v>
      </c>
      <c r="E43" s="2" t="s">
        <v>23</v>
      </c>
      <c r="F43" s="2" t="s">
        <v>19</v>
      </c>
      <c r="G43" s="2" t="n">
        <v>2008</v>
      </c>
      <c r="H43" s="3" t="n">
        <v>37565.4</v>
      </c>
      <c r="I43" s="3" t="n">
        <v>37009.7</v>
      </c>
      <c r="J43" s="3" t="n">
        <v>572</v>
      </c>
      <c r="K43" s="3" t="n">
        <v>23546.2</v>
      </c>
      <c r="L43" s="4" t="n">
        <v>62.68055178</v>
      </c>
      <c r="M43" s="3" t="n">
        <v>14019.2</v>
      </c>
      <c r="N43" s="4" t="n">
        <v>37.31944822</v>
      </c>
      <c r="O43" s="9" t="n">
        <f aca="false">$C$5-G43</f>
        <v>18</v>
      </c>
      <c r="P43" s="3" t="n">
        <f aca="false">H43/O43</f>
        <v>2086.96666666667</v>
      </c>
      <c r="Q43" s="2" t="str">
        <f aca="false">IF(G43&lt;2010,"Legacy (pre-2010)",IF(G43&lt;=2017,"Established (2010-2017)","Emerging (2018+)"))</f>
        <v>Legacy (pre-2010)</v>
      </c>
    </row>
    <row r="44" customFormat="false" ht="15" hidden="false" customHeight="false" outlineLevel="0" collapsed="false">
      <c r="A44" s="2" t="s">
        <v>76</v>
      </c>
      <c r="B44" s="2" t="s">
        <v>21</v>
      </c>
      <c r="C44" s="2" t="s">
        <v>43</v>
      </c>
      <c r="D44" s="2" t="s">
        <v>25</v>
      </c>
      <c r="E44" s="2" t="s">
        <v>26</v>
      </c>
      <c r="F44" s="2" t="s">
        <v>19</v>
      </c>
      <c r="G44" s="2" t="n">
        <v>2007</v>
      </c>
      <c r="H44" s="3" t="n">
        <v>37549.7</v>
      </c>
      <c r="I44" s="3" t="n">
        <v>29603.8</v>
      </c>
      <c r="J44" s="3" t="n">
        <v>7961.5</v>
      </c>
      <c r="K44" s="3" t="n">
        <v>14790.4</v>
      </c>
      <c r="L44" s="4" t="n">
        <v>39.38886329</v>
      </c>
      <c r="M44" s="3" t="n">
        <v>22759.3</v>
      </c>
      <c r="N44" s="4" t="n">
        <v>60.61113671</v>
      </c>
      <c r="O44" s="9" t="n">
        <f aca="false">$C$5-G44</f>
        <v>19</v>
      </c>
      <c r="P44" s="3" t="n">
        <f aca="false">H44/O44</f>
        <v>1976.3</v>
      </c>
      <c r="Q44" s="2" t="str">
        <f aca="false">IF(G44&lt;2010,"Legacy (pre-2010)",IF(G44&lt;=2017,"Established (2010-2017)","Emerging (2018+)"))</f>
        <v>Legacy (pre-2010)</v>
      </c>
    </row>
    <row r="45" customFormat="false" ht="15" hidden="false" customHeight="false" outlineLevel="0" collapsed="false">
      <c r="A45" s="2" t="s">
        <v>77</v>
      </c>
      <c r="B45" s="2" t="s">
        <v>15</v>
      </c>
      <c r="C45" s="2" t="s">
        <v>22</v>
      </c>
      <c r="D45" s="2" t="s">
        <v>17</v>
      </c>
      <c r="E45" s="2" t="s">
        <v>18</v>
      </c>
      <c r="F45" s="2" t="s">
        <v>19</v>
      </c>
      <c r="G45" s="2" t="n">
        <v>2017</v>
      </c>
      <c r="H45" s="3" t="n">
        <v>35931.9</v>
      </c>
      <c r="I45" s="3" t="n">
        <v>18773.5</v>
      </c>
      <c r="J45" s="3" t="n">
        <v>17171.5</v>
      </c>
      <c r="K45" s="3" t="n">
        <v>8928.8</v>
      </c>
      <c r="L45" s="4" t="n">
        <v>24.84922868</v>
      </c>
      <c r="M45" s="3" t="n">
        <v>27003.1</v>
      </c>
      <c r="N45" s="4" t="n">
        <v>75.15077132</v>
      </c>
      <c r="O45" s="9" t="n">
        <f aca="false">$C$5-G45</f>
        <v>9</v>
      </c>
      <c r="P45" s="3" t="n">
        <f aca="false">H45/O45</f>
        <v>3992.43333333333</v>
      </c>
      <c r="Q45" s="2" t="str">
        <f aca="false">IF(G45&lt;2010,"Legacy (pre-2010)",IF(G45&lt;=2017,"Established (2010-2017)","Emerging (2018+)"))</f>
        <v>Established (2010-2017)</v>
      </c>
    </row>
    <row r="46" customFormat="false" ht="15" hidden="false" customHeight="false" outlineLevel="0" collapsed="false">
      <c r="A46" s="2" t="s">
        <v>78</v>
      </c>
      <c r="B46" s="2" t="s">
        <v>79</v>
      </c>
      <c r="C46" s="2" t="s">
        <v>22</v>
      </c>
      <c r="D46" s="2" t="s">
        <v>17</v>
      </c>
      <c r="E46" s="2" t="s">
        <v>23</v>
      </c>
      <c r="F46" s="2" t="s">
        <v>49</v>
      </c>
      <c r="G46" s="2" t="n">
        <v>2002</v>
      </c>
      <c r="H46" s="3" t="n">
        <v>35794.1</v>
      </c>
      <c r="I46" s="3" t="n">
        <v>35585.8</v>
      </c>
      <c r="J46" s="3" t="n">
        <v>222.6</v>
      </c>
      <c r="K46" s="3" t="n">
        <v>23312.5</v>
      </c>
      <c r="L46" s="4" t="n">
        <v>65.12944871</v>
      </c>
      <c r="M46" s="3" t="n">
        <v>12481.6</v>
      </c>
      <c r="N46" s="4" t="n">
        <v>34.87055129</v>
      </c>
      <c r="O46" s="9" t="n">
        <f aca="false">$C$5-G46</f>
        <v>24</v>
      </c>
      <c r="P46" s="3" t="n">
        <f aca="false">H46/O46</f>
        <v>1491.42083333333</v>
      </c>
      <c r="Q46" s="2" t="str">
        <f aca="false">IF(G46&lt;2010,"Legacy (pre-2010)",IF(G46&lt;=2017,"Established (2010-2017)","Emerging (2018+)"))</f>
        <v>Legacy (pre-2010)</v>
      </c>
    </row>
    <row r="47" customFormat="false" ht="15" hidden="false" customHeight="false" outlineLevel="0" collapsed="false">
      <c r="A47" s="2" t="s">
        <v>80</v>
      </c>
      <c r="B47" s="2" t="s">
        <v>15</v>
      </c>
      <c r="C47" s="2" t="s">
        <v>22</v>
      </c>
      <c r="D47" s="2" t="s">
        <v>17</v>
      </c>
      <c r="E47" s="2" t="s">
        <v>28</v>
      </c>
      <c r="F47" s="2" t="s">
        <v>19</v>
      </c>
      <c r="G47" s="2" t="n">
        <v>2016</v>
      </c>
      <c r="H47" s="3" t="n">
        <v>35727.2</v>
      </c>
      <c r="I47" s="3" t="n">
        <v>18499.9</v>
      </c>
      <c r="J47" s="3" t="n">
        <v>17234.4</v>
      </c>
      <c r="K47" s="3" t="n">
        <v>12520.6</v>
      </c>
      <c r="L47" s="4" t="n">
        <v>35.04500773</v>
      </c>
      <c r="M47" s="3" t="n">
        <v>23206.6</v>
      </c>
      <c r="N47" s="4" t="n">
        <v>64.95499227</v>
      </c>
      <c r="O47" s="9" t="n">
        <f aca="false">$C$5-G47</f>
        <v>10</v>
      </c>
      <c r="P47" s="3" t="n">
        <f aca="false">H47/O47</f>
        <v>3572.72</v>
      </c>
      <c r="Q47" s="2" t="str">
        <f aca="false">IF(G47&lt;2010,"Legacy (pre-2010)",IF(G47&lt;=2017,"Established (2010-2017)","Emerging (2018+)"))</f>
        <v>Established (2010-2017)</v>
      </c>
    </row>
    <row r="48" customFormat="false" ht="15" hidden="false" customHeight="false" outlineLevel="0" collapsed="false">
      <c r="A48" s="2" t="s">
        <v>81</v>
      </c>
      <c r="B48" s="2" t="s">
        <v>21</v>
      </c>
      <c r="C48" s="2" t="s">
        <v>22</v>
      </c>
      <c r="D48" s="2" t="s">
        <v>17</v>
      </c>
      <c r="E48" s="2" t="s">
        <v>23</v>
      </c>
      <c r="F48" s="2" t="s">
        <v>19</v>
      </c>
      <c r="G48" s="2" t="n">
        <v>2003</v>
      </c>
      <c r="H48" s="3" t="n">
        <v>34975.2</v>
      </c>
      <c r="I48" s="3" t="n">
        <v>29662.8</v>
      </c>
      <c r="J48" s="3" t="n">
        <v>5325.3</v>
      </c>
      <c r="K48" s="3" t="n">
        <v>21863.9</v>
      </c>
      <c r="L48" s="4" t="n">
        <v>62.51258034</v>
      </c>
      <c r="M48" s="3" t="n">
        <v>13111.3</v>
      </c>
      <c r="N48" s="4" t="n">
        <v>37.48741966</v>
      </c>
      <c r="O48" s="9" t="n">
        <f aca="false">$C$5-G48</f>
        <v>23</v>
      </c>
      <c r="P48" s="3" t="n">
        <f aca="false">H48/O48</f>
        <v>1520.66086956522</v>
      </c>
      <c r="Q48" s="2" t="str">
        <f aca="false">IF(G48&lt;2010,"Legacy (pre-2010)",IF(G48&lt;=2017,"Established (2010-2017)","Emerging (2018+)"))</f>
        <v>Legacy (pre-2010)</v>
      </c>
    </row>
    <row r="49" customFormat="false" ht="15" hidden="false" customHeight="false" outlineLevel="0" collapsed="false">
      <c r="A49" s="2" t="s">
        <v>82</v>
      </c>
      <c r="B49" s="2" t="s">
        <v>15</v>
      </c>
      <c r="C49" s="2" t="s">
        <v>43</v>
      </c>
      <c r="D49" s="2" t="s">
        <v>25</v>
      </c>
      <c r="E49" s="2" t="s">
        <v>83</v>
      </c>
      <c r="F49" s="2" t="s">
        <v>19</v>
      </c>
      <c r="G49" s="2" t="n">
        <v>2010</v>
      </c>
      <c r="H49" s="3" t="n">
        <v>34841</v>
      </c>
      <c r="I49" s="3" t="n">
        <v>19449.8</v>
      </c>
      <c r="J49" s="3" t="n">
        <v>15404.7</v>
      </c>
      <c r="K49" s="3" t="n">
        <v>11616.3</v>
      </c>
      <c r="L49" s="4" t="n">
        <v>33.34089148</v>
      </c>
      <c r="M49" s="3" t="n">
        <v>23224.7</v>
      </c>
      <c r="N49" s="4" t="n">
        <v>66.65910852</v>
      </c>
      <c r="O49" s="9" t="n">
        <f aca="false">$C$5-G49</f>
        <v>16</v>
      </c>
      <c r="P49" s="3" t="n">
        <f aca="false">H49/O49</f>
        <v>2177.5625</v>
      </c>
      <c r="Q49" s="2" t="str">
        <f aca="false">IF(G49&lt;2010,"Legacy (pre-2010)",IF(G49&lt;=2017,"Established (2010-2017)","Emerging (2018+)"))</f>
        <v>Established (2010-2017)</v>
      </c>
    </row>
    <row r="50" customFormat="false" ht="15" hidden="false" customHeight="false" outlineLevel="0" collapsed="false">
      <c r="A50" s="2" t="s">
        <v>84</v>
      </c>
      <c r="B50" s="2" t="s">
        <v>15</v>
      </c>
      <c r="C50" s="2" t="s">
        <v>43</v>
      </c>
      <c r="D50" s="2" t="s">
        <v>25</v>
      </c>
      <c r="E50" s="2" t="s">
        <v>26</v>
      </c>
      <c r="F50" s="2" t="s">
        <v>19</v>
      </c>
      <c r="G50" s="2" t="n">
        <v>2015</v>
      </c>
      <c r="H50" s="3" t="n">
        <v>34579.1</v>
      </c>
      <c r="I50" s="3" t="n">
        <v>18725.6</v>
      </c>
      <c r="J50" s="3" t="n">
        <v>15774.1</v>
      </c>
      <c r="K50" s="3" t="n">
        <v>9877.3</v>
      </c>
      <c r="L50" s="4" t="n">
        <v>28.56436402</v>
      </c>
      <c r="M50" s="3" t="n">
        <v>24701.8</v>
      </c>
      <c r="N50" s="4" t="n">
        <v>71.43563598</v>
      </c>
      <c r="O50" s="9" t="n">
        <f aca="false">$C$5-G50</f>
        <v>11</v>
      </c>
      <c r="P50" s="3" t="n">
        <f aca="false">H50/O50</f>
        <v>3143.55454545455</v>
      </c>
      <c r="Q50" s="2" t="str">
        <f aca="false">IF(G50&lt;2010,"Legacy (pre-2010)",IF(G50&lt;=2017,"Established (2010-2017)","Emerging (2018+)"))</f>
        <v>Established (2010-2017)</v>
      </c>
    </row>
    <row r="51" customFormat="false" ht="15" hidden="false" customHeight="false" outlineLevel="0" collapsed="false">
      <c r="A51" s="2" t="s">
        <v>85</v>
      </c>
      <c r="B51" s="2" t="s">
        <v>15</v>
      </c>
      <c r="C51" s="2" t="s">
        <v>86</v>
      </c>
      <c r="D51" s="2" t="s">
        <v>17</v>
      </c>
      <c r="E51" s="2" t="s">
        <v>61</v>
      </c>
      <c r="F51" s="2" t="s">
        <v>19</v>
      </c>
      <c r="G51" s="2" t="n">
        <v>2007</v>
      </c>
      <c r="H51" s="3" t="n">
        <v>34129.7</v>
      </c>
      <c r="I51" s="3" t="n">
        <v>31846</v>
      </c>
      <c r="J51" s="3" t="n">
        <v>2298.3</v>
      </c>
      <c r="K51" s="3" t="n">
        <v>5998.8</v>
      </c>
      <c r="L51" s="4" t="n">
        <v>17.57648031</v>
      </c>
      <c r="M51" s="3" t="n">
        <v>28130.9</v>
      </c>
      <c r="N51" s="4" t="n">
        <v>82.42351969</v>
      </c>
      <c r="O51" s="9" t="n">
        <f aca="false">$C$5-G51</f>
        <v>19</v>
      </c>
      <c r="P51" s="3" t="n">
        <f aca="false">H51/O51</f>
        <v>1796.3</v>
      </c>
      <c r="Q51" s="2" t="str">
        <f aca="false">IF(G51&lt;2010,"Legacy (pre-2010)",IF(G51&lt;=2017,"Established (2010-2017)","Emerging (2018+)"))</f>
        <v>Legacy (pre-2010)</v>
      </c>
    </row>
    <row r="52" customFormat="false" ht="15" hidden="false" customHeight="false" outlineLevel="0" collapsed="false">
      <c r="A52" s="2" t="s">
        <v>87</v>
      </c>
      <c r="B52" s="2" t="s">
        <v>15</v>
      </c>
      <c r="C52" s="2" t="s">
        <v>22</v>
      </c>
      <c r="D52" s="2" t="s">
        <v>25</v>
      </c>
      <c r="E52" s="2" t="s">
        <v>26</v>
      </c>
      <c r="F52" s="2" t="s">
        <v>19</v>
      </c>
      <c r="G52" s="2" t="n">
        <v>2016</v>
      </c>
      <c r="H52" s="3" t="n">
        <v>33620.7</v>
      </c>
      <c r="I52" s="3" t="n">
        <v>14022.5</v>
      </c>
      <c r="J52" s="3" t="n">
        <v>19614.7</v>
      </c>
      <c r="K52" s="3" t="n">
        <v>9406.6</v>
      </c>
      <c r="L52" s="4" t="n">
        <v>27.97859652</v>
      </c>
      <c r="M52" s="3" t="n">
        <v>24214.1</v>
      </c>
      <c r="N52" s="4" t="n">
        <v>72.02140348</v>
      </c>
      <c r="O52" s="9" t="n">
        <f aca="false">$C$5-G52</f>
        <v>10</v>
      </c>
      <c r="P52" s="3" t="n">
        <f aca="false">H52/O52</f>
        <v>3362.07</v>
      </c>
      <c r="Q52" s="2" t="str">
        <f aca="false">IF(G52&lt;2010,"Legacy (pre-2010)",IF(G52&lt;=2017,"Established (2010-2017)","Emerging (2018+)"))</f>
        <v>Established (2010-2017)</v>
      </c>
    </row>
    <row r="53" customFormat="false" ht="15" hidden="false" customHeight="false" outlineLevel="0" collapsed="false">
      <c r="A53" s="2" t="s">
        <v>88</v>
      </c>
      <c r="B53" s="2" t="s">
        <v>79</v>
      </c>
      <c r="C53" s="2" t="s">
        <v>22</v>
      </c>
      <c r="D53" s="2" t="s">
        <v>17</v>
      </c>
      <c r="E53" s="2" t="s">
        <v>52</v>
      </c>
      <c r="F53" s="2" t="s">
        <v>49</v>
      </c>
      <c r="G53" s="2" t="n">
        <v>2000</v>
      </c>
      <c r="H53" s="3" t="n">
        <v>33224.7</v>
      </c>
      <c r="I53" s="3" t="n">
        <v>31426.6</v>
      </c>
      <c r="J53" s="3" t="n">
        <v>1798.1</v>
      </c>
      <c r="K53" s="3" t="n">
        <v>30151.2</v>
      </c>
      <c r="L53" s="4" t="n">
        <v>90.74935214</v>
      </c>
      <c r="M53" s="3" t="n">
        <v>3073.5</v>
      </c>
      <c r="N53" s="4" t="n">
        <v>9.250647861</v>
      </c>
      <c r="O53" s="9" t="n">
        <f aca="false">$C$5-G53</f>
        <v>26</v>
      </c>
      <c r="P53" s="3" t="n">
        <f aca="false">H53/O53</f>
        <v>1277.87307692308</v>
      </c>
      <c r="Q53" s="2" t="str">
        <f aca="false">IF(G53&lt;2010,"Legacy (pre-2010)",IF(G53&lt;=2017,"Established (2010-2017)","Emerging (2018+)"))</f>
        <v>Legacy (pre-2010)</v>
      </c>
    </row>
    <row r="54" customFormat="false" ht="15" hidden="false" customHeight="false" outlineLevel="0" collapsed="false">
      <c r="A54" s="2" t="s">
        <v>89</v>
      </c>
      <c r="B54" s="2" t="s">
        <v>15</v>
      </c>
      <c r="C54" s="2" t="s">
        <v>90</v>
      </c>
      <c r="D54" s="2" t="s">
        <v>25</v>
      </c>
      <c r="E54" s="2" t="s">
        <v>91</v>
      </c>
      <c r="F54" s="2" t="s">
        <v>19</v>
      </c>
      <c r="G54" s="2" t="n">
        <v>2020</v>
      </c>
      <c r="H54" s="3" t="n">
        <v>33179.8</v>
      </c>
      <c r="I54" s="3" t="n">
        <v>18699.1</v>
      </c>
      <c r="J54" s="3" t="n">
        <v>14501.2</v>
      </c>
      <c r="K54" s="3" t="n">
        <v>3938.3</v>
      </c>
      <c r="L54" s="4" t="n">
        <v>11.86957125</v>
      </c>
      <c r="M54" s="3" t="n">
        <v>29241.5</v>
      </c>
      <c r="N54" s="4" t="n">
        <v>88.13042875</v>
      </c>
      <c r="O54" s="9" t="n">
        <f aca="false">$C$5-G54</f>
        <v>6</v>
      </c>
      <c r="P54" s="3" t="n">
        <f aca="false">H54/O54</f>
        <v>5529.96666666667</v>
      </c>
      <c r="Q54" s="2" t="str">
        <f aca="false">IF(G54&lt;2010,"Legacy (pre-2010)",IF(G54&lt;=2017,"Established (2010-2017)","Emerging (2018+)"))</f>
        <v>Emerging (2018+)</v>
      </c>
    </row>
    <row r="55" customFormat="false" ht="15" hidden="false" customHeight="false" outlineLevel="0" collapsed="false">
      <c r="A55" s="2" t="s">
        <v>92</v>
      </c>
      <c r="B55" s="2" t="s">
        <v>15</v>
      </c>
      <c r="C55" s="2" t="s">
        <v>22</v>
      </c>
      <c r="D55" s="2" t="s">
        <v>17</v>
      </c>
      <c r="E55" s="2" t="s">
        <v>18</v>
      </c>
      <c r="F55" s="2" t="s">
        <v>19</v>
      </c>
      <c r="G55" s="2" t="n">
        <v>2007</v>
      </c>
      <c r="H55" s="3" t="n">
        <v>32200.9</v>
      </c>
      <c r="I55" s="3" t="n">
        <v>24334.7</v>
      </c>
      <c r="J55" s="3" t="n">
        <v>7876.1</v>
      </c>
      <c r="K55" s="3" t="n">
        <v>18999.5</v>
      </c>
      <c r="L55" s="4" t="n">
        <v>59.00300923</v>
      </c>
      <c r="M55" s="3" t="n">
        <v>13201.4</v>
      </c>
      <c r="N55" s="4" t="n">
        <v>40.99699077</v>
      </c>
      <c r="O55" s="9" t="n">
        <f aca="false">$C$5-G55</f>
        <v>19</v>
      </c>
      <c r="P55" s="3" t="n">
        <f aca="false">H55/O55</f>
        <v>1694.78421052632</v>
      </c>
      <c r="Q55" s="2" t="str">
        <f aca="false">IF(G55&lt;2010,"Legacy (pre-2010)",IF(G55&lt;=2017,"Established (2010-2017)","Emerging (2018+)"))</f>
        <v>Legacy (pre-2010)</v>
      </c>
    </row>
    <row r="56" customFormat="false" ht="15" hidden="false" customHeight="false" outlineLevel="0" collapsed="false">
      <c r="A56" s="2" t="s">
        <v>93</v>
      </c>
      <c r="B56" s="2" t="s">
        <v>15</v>
      </c>
      <c r="C56" s="2" t="s">
        <v>22</v>
      </c>
      <c r="D56" s="2" t="s">
        <v>17</v>
      </c>
      <c r="E56" s="2" t="s">
        <v>18</v>
      </c>
      <c r="F56" s="2" t="s">
        <v>19</v>
      </c>
      <c r="G56" s="2" t="n">
        <v>2014</v>
      </c>
      <c r="H56" s="3" t="n">
        <v>32115.9</v>
      </c>
      <c r="I56" s="3" t="n">
        <v>21117.5</v>
      </c>
      <c r="J56" s="3" t="n">
        <v>11006.6</v>
      </c>
      <c r="K56" s="3" t="n">
        <v>16803.2</v>
      </c>
      <c r="L56" s="4" t="n">
        <v>52.32050168</v>
      </c>
      <c r="M56" s="3" t="n">
        <v>15312.7</v>
      </c>
      <c r="N56" s="4" t="n">
        <v>47.67949832</v>
      </c>
      <c r="O56" s="9" t="n">
        <f aca="false">$C$5-G56</f>
        <v>12</v>
      </c>
      <c r="P56" s="3" t="n">
        <f aca="false">H56/O56</f>
        <v>2676.325</v>
      </c>
      <c r="Q56" s="2" t="str">
        <f aca="false">IF(G56&lt;2010,"Legacy (pre-2010)",IF(G56&lt;=2017,"Established (2010-2017)","Emerging (2018+)"))</f>
        <v>Established (2010-2017)</v>
      </c>
    </row>
    <row r="57" customFormat="false" ht="15" hidden="false" customHeight="false" outlineLevel="0" collapsed="false">
      <c r="A57" s="2" t="s">
        <v>94</v>
      </c>
      <c r="B57" s="2" t="s">
        <v>21</v>
      </c>
      <c r="C57" s="2" t="s">
        <v>95</v>
      </c>
      <c r="D57" s="2" t="s">
        <v>17</v>
      </c>
      <c r="E57" s="2" t="s">
        <v>23</v>
      </c>
      <c r="F57" s="2" t="s">
        <v>19</v>
      </c>
      <c r="G57" s="2" t="n">
        <v>1997</v>
      </c>
      <c r="H57" s="3" t="n">
        <v>31642.1</v>
      </c>
      <c r="I57" s="3" t="n">
        <v>21063.2</v>
      </c>
      <c r="J57" s="3" t="n">
        <v>10588.2</v>
      </c>
      <c r="K57" s="3" t="n">
        <v>15741.1</v>
      </c>
      <c r="L57" s="4" t="n">
        <v>49.7473303</v>
      </c>
      <c r="M57" s="3" t="n">
        <v>15901</v>
      </c>
      <c r="N57" s="4" t="n">
        <v>50.2526697</v>
      </c>
      <c r="O57" s="9" t="n">
        <f aca="false">$C$5-G57</f>
        <v>29</v>
      </c>
      <c r="P57" s="3" t="n">
        <f aca="false">H57/O57</f>
        <v>1091.10689655172</v>
      </c>
      <c r="Q57" s="2" t="str">
        <f aca="false">IF(G57&lt;2010,"Legacy (pre-2010)",IF(G57&lt;=2017,"Established (2010-2017)","Emerging (2018+)"))</f>
        <v>Legacy (pre-2010)</v>
      </c>
    </row>
    <row r="58" customFormat="false" ht="15" hidden="false" customHeight="false" outlineLevel="0" collapsed="false">
      <c r="A58" s="2" t="s">
        <v>96</v>
      </c>
      <c r="B58" s="2" t="s">
        <v>21</v>
      </c>
      <c r="C58" s="2" t="s">
        <v>22</v>
      </c>
      <c r="D58" s="2" t="s">
        <v>17</v>
      </c>
      <c r="E58" s="2" t="s">
        <v>23</v>
      </c>
      <c r="F58" s="2" t="s">
        <v>19</v>
      </c>
      <c r="G58" s="2" t="n">
        <v>2012</v>
      </c>
      <c r="H58" s="3" t="n">
        <v>31214.3</v>
      </c>
      <c r="I58" s="3" t="n">
        <v>25574.2</v>
      </c>
      <c r="J58" s="3" t="n">
        <v>5650.9</v>
      </c>
      <c r="K58" s="3" t="n">
        <v>18797.1</v>
      </c>
      <c r="L58" s="4" t="n">
        <v>60.21951477</v>
      </c>
      <c r="M58" s="3" t="n">
        <v>12417.2</v>
      </c>
      <c r="N58" s="4" t="n">
        <v>39.78048523</v>
      </c>
      <c r="O58" s="9" t="n">
        <f aca="false">$C$5-G58</f>
        <v>14</v>
      </c>
      <c r="P58" s="3" t="n">
        <f aca="false">H58/O58</f>
        <v>2229.59285714286</v>
      </c>
      <c r="Q58" s="2" t="str">
        <f aca="false">IF(G58&lt;2010,"Legacy (pre-2010)",IF(G58&lt;=2017,"Established (2010-2017)","Emerging (2018+)"))</f>
        <v>Established (2010-2017)</v>
      </c>
    </row>
    <row r="59" customFormat="false" ht="15" hidden="false" customHeight="false" outlineLevel="0" collapsed="false">
      <c r="A59" s="2" t="s">
        <v>97</v>
      </c>
      <c r="B59" s="2" t="s">
        <v>21</v>
      </c>
      <c r="C59" s="2" t="s">
        <v>43</v>
      </c>
      <c r="D59" s="2" t="s">
        <v>25</v>
      </c>
      <c r="E59" s="2" t="s">
        <v>83</v>
      </c>
      <c r="F59" s="2" t="s">
        <v>19</v>
      </c>
      <c r="G59" s="2" t="n">
        <v>1991</v>
      </c>
      <c r="H59" s="3" t="n">
        <v>31212.4</v>
      </c>
      <c r="I59" s="3" t="n">
        <v>24041</v>
      </c>
      <c r="J59" s="3" t="n">
        <v>7171.5</v>
      </c>
      <c r="K59" s="3" t="n">
        <v>11661.1</v>
      </c>
      <c r="L59" s="4" t="n">
        <v>37.36047212</v>
      </c>
      <c r="M59" s="3" t="n">
        <v>19551.3</v>
      </c>
      <c r="N59" s="4" t="n">
        <v>62.63952788</v>
      </c>
      <c r="O59" s="9" t="n">
        <f aca="false">$C$5-G59</f>
        <v>35</v>
      </c>
      <c r="P59" s="3" t="n">
        <f aca="false">H59/O59</f>
        <v>891.782857142857</v>
      </c>
      <c r="Q59" s="2" t="str">
        <f aca="false">IF(G59&lt;2010,"Legacy (pre-2010)",IF(G59&lt;=2017,"Established (2010-2017)","Emerging (2018+)"))</f>
        <v>Legacy (pre-2010)</v>
      </c>
    </row>
    <row r="60" customFormat="false" ht="15" hidden="false" customHeight="false" outlineLevel="0" collapsed="false">
      <c r="A60" s="2" t="s">
        <v>98</v>
      </c>
      <c r="B60" s="2" t="s">
        <v>15</v>
      </c>
      <c r="C60" s="2" t="s">
        <v>22</v>
      </c>
      <c r="D60" s="2" t="s">
        <v>17</v>
      </c>
      <c r="E60" s="2" t="s">
        <v>99</v>
      </c>
      <c r="F60" s="2" t="s">
        <v>19</v>
      </c>
      <c r="G60" s="2" t="n">
        <v>2014</v>
      </c>
      <c r="H60" s="3" t="n">
        <v>31171.1</v>
      </c>
      <c r="I60" s="3" t="n">
        <v>26589.9</v>
      </c>
      <c r="J60" s="3" t="n">
        <v>4600.4</v>
      </c>
      <c r="K60" s="3" t="n">
        <v>23825.8</v>
      </c>
      <c r="L60" s="4" t="n">
        <v>76.43554446</v>
      </c>
      <c r="M60" s="3" t="n">
        <v>7345.3</v>
      </c>
      <c r="N60" s="4" t="n">
        <v>23.56445554</v>
      </c>
      <c r="O60" s="9" t="n">
        <f aca="false">$C$5-G60</f>
        <v>12</v>
      </c>
      <c r="P60" s="3" t="n">
        <f aca="false">H60/O60</f>
        <v>2597.59166666667</v>
      </c>
      <c r="Q60" s="2" t="str">
        <f aca="false">IF(G60&lt;2010,"Legacy (pre-2010)",IF(G60&lt;=2017,"Established (2010-2017)","Emerging (2018+)"))</f>
        <v>Established (2010-2017)</v>
      </c>
    </row>
    <row r="61" customFormat="false" ht="15" hidden="false" customHeight="false" outlineLevel="0" collapsed="false">
      <c r="A61" s="2" t="s">
        <v>100</v>
      </c>
      <c r="B61" s="2" t="s">
        <v>15</v>
      </c>
      <c r="C61" s="2" t="s">
        <v>22</v>
      </c>
      <c r="D61" s="2" t="s">
        <v>17</v>
      </c>
      <c r="E61" s="2" t="s">
        <v>18</v>
      </c>
      <c r="F61" s="2" t="s">
        <v>19</v>
      </c>
      <c r="G61" s="2" t="n">
        <v>2011</v>
      </c>
      <c r="H61" s="3" t="n">
        <v>30933.8</v>
      </c>
      <c r="I61" s="3" t="n">
        <v>10464.2</v>
      </c>
      <c r="J61" s="3" t="n">
        <v>20472.3</v>
      </c>
      <c r="K61" s="3" t="n">
        <v>2792.1</v>
      </c>
      <c r="L61" s="4" t="n">
        <v>9.026049176</v>
      </c>
      <c r="M61" s="3" t="n">
        <v>28141.7</v>
      </c>
      <c r="N61" s="4" t="n">
        <v>90.97395082</v>
      </c>
      <c r="O61" s="9" t="n">
        <f aca="false">$C$5-G61</f>
        <v>15</v>
      </c>
      <c r="P61" s="3" t="n">
        <f aca="false">H61/O61</f>
        <v>2062.25333333333</v>
      </c>
      <c r="Q61" s="2" t="str">
        <f aca="false">IF(G61&lt;2010,"Legacy (pre-2010)",IF(G61&lt;=2017,"Established (2010-2017)","Emerging (2018+)"))</f>
        <v>Established (2010-2017)</v>
      </c>
    </row>
    <row r="62" customFormat="false" ht="15" hidden="false" customHeight="false" outlineLevel="0" collapsed="false">
      <c r="A62" s="2" t="s">
        <v>101</v>
      </c>
      <c r="B62" s="2" t="s">
        <v>15</v>
      </c>
      <c r="C62" s="2" t="s">
        <v>22</v>
      </c>
      <c r="D62" s="2" t="s">
        <v>25</v>
      </c>
      <c r="E62" s="2" t="s">
        <v>26</v>
      </c>
      <c r="F62" s="2" t="s">
        <v>19</v>
      </c>
      <c r="G62" s="2" t="n">
        <v>2009</v>
      </c>
      <c r="H62" s="3" t="n">
        <v>29775.3</v>
      </c>
      <c r="I62" s="3" t="n">
        <v>8548.7</v>
      </c>
      <c r="J62" s="3" t="n">
        <v>21237.2</v>
      </c>
      <c r="K62" s="3" t="n">
        <v>4615.9</v>
      </c>
      <c r="L62" s="4" t="n">
        <v>15.50244666</v>
      </c>
      <c r="M62" s="3" t="n">
        <v>25159.4</v>
      </c>
      <c r="N62" s="4" t="n">
        <v>84.49755334</v>
      </c>
      <c r="O62" s="9" t="n">
        <f aca="false">$C$5-G62</f>
        <v>17</v>
      </c>
      <c r="P62" s="3" t="n">
        <f aca="false">H62/O62</f>
        <v>1751.48823529412</v>
      </c>
      <c r="Q62" s="2" t="str">
        <f aca="false">IF(G62&lt;2010,"Legacy (pre-2010)",IF(G62&lt;=2017,"Established (2010-2017)","Emerging (2018+)"))</f>
        <v>Legacy (pre-2010)</v>
      </c>
    </row>
    <row r="63" customFormat="false" ht="15" hidden="false" customHeight="false" outlineLevel="0" collapsed="false">
      <c r="A63" s="2" t="s">
        <v>102</v>
      </c>
      <c r="B63" s="2" t="s">
        <v>15</v>
      </c>
      <c r="C63" s="2" t="s">
        <v>16</v>
      </c>
      <c r="D63" s="2" t="s">
        <v>17</v>
      </c>
      <c r="E63" s="2" t="s">
        <v>23</v>
      </c>
      <c r="F63" s="2" t="s">
        <v>19</v>
      </c>
      <c r="G63" s="2" t="n">
        <v>2014</v>
      </c>
      <c r="H63" s="3" t="n">
        <v>29471.1</v>
      </c>
      <c r="I63" s="3" t="n">
        <v>28781</v>
      </c>
      <c r="J63" s="3" t="n">
        <v>699</v>
      </c>
      <c r="K63" s="3" t="n">
        <v>22074.9</v>
      </c>
      <c r="L63" s="4" t="n">
        <v>74.90354958</v>
      </c>
      <c r="M63" s="3" t="n">
        <v>7396.2</v>
      </c>
      <c r="N63" s="4" t="n">
        <v>25.09645042</v>
      </c>
      <c r="O63" s="9" t="n">
        <f aca="false">$C$5-G63</f>
        <v>12</v>
      </c>
      <c r="P63" s="3" t="n">
        <f aca="false">H63/O63</f>
        <v>2455.925</v>
      </c>
      <c r="Q63" s="2" t="str">
        <f aca="false">IF(G63&lt;2010,"Legacy (pre-2010)",IF(G63&lt;=2017,"Established (2010-2017)","Emerging (2018+)"))</f>
        <v>Established (2010-2017)</v>
      </c>
    </row>
    <row r="64" customFormat="false" ht="15" hidden="false" customHeight="false" outlineLevel="0" collapsed="false">
      <c r="A64" s="2" t="s">
        <v>103</v>
      </c>
      <c r="B64" s="2" t="s">
        <v>15</v>
      </c>
      <c r="C64" s="2" t="s">
        <v>34</v>
      </c>
      <c r="D64" s="2" t="s">
        <v>17</v>
      </c>
      <c r="E64" s="2" t="s">
        <v>23</v>
      </c>
      <c r="F64" s="2" t="s">
        <v>19</v>
      </c>
      <c r="G64" s="2" t="n">
        <v>2010</v>
      </c>
      <c r="H64" s="3" t="n">
        <v>29449</v>
      </c>
      <c r="I64" s="3" t="n">
        <v>29462.8</v>
      </c>
      <c r="J64" s="3" t="n">
        <v>0</v>
      </c>
      <c r="K64" s="3" t="n">
        <v>29449</v>
      </c>
      <c r="L64" s="4" t="n">
        <v>100</v>
      </c>
      <c r="M64" s="3" t="n">
        <v>0</v>
      </c>
      <c r="N64" s="4" t="n">
        <v>0</v>
      </c>
      <c r="O64" s="9" t="n">
        <f aca="false">$C$5-G64</f>
        <v>16</v>
      </c>
      <c r="P64" s="3" t="n">
        <f aca="false">H64/O64</f>
        <v>1840.5625</v>
      </c>
      <c r="Q64" s="2" t="str">
        <f aca="false">IF(G64&lt;2010,"Legacy (pre-2010)",IF(G64&lt;=2017,"Established (2010-2017)","Emerging (2018+)"))</f>
        <v>Established (2010-2017)</v>
      </c>
    </row>
    <row r="65" customFormat="false" ht="15" hidden="false" customHeight="false" outlineLevel="0" collapsed="false">
      <c r="A65" s="2" t="s">
        <v>104</v>
      </c>
      <c r="B65" s="2" t="s">
        <v>15</v>
      </c>
      <c r="C65" s="2" t="s">
        <v>34</v>
      </c>
      <c r="D65" s="2" t="s">
        <v>17</v>
      </c>
      <c r="E65" s="2" t="s">
        <v>52</v>
      </c>
      <c r="F65" s="2" t="s">
        <v>49</v>
      </c>
      <c r="G65" s="2" t="n">
        <v>1973</v>
      </c>
      <c r="H65" s="3" t="n">
        <v>29370</v>
      </c>
      <c r="I65" s="3" t="n">
        <v>29307.6</v>
      </c>
      <c r="J65" s="3" t="n">
        <v>70.8</v>
      </c>
      <c r="K65" s="3" t="n">
        <v>26931.7</v>
      </c>
      <c r="L65" s="4" t="n">
        <v>91.69799115</v>
      </c>
      <c r="M65" s="3" t="n">
        <v>2438.3</v>
      </c>
      <c r="N65" s="4" t="n">
        <v>8.302008853</v>
      </c>
      <c r="O65" s="9" t="n">
        <f aca="false">$C$5-G65</f>
        <v>53</v>
      </c>
      <c r="P65" s="3" t="n">
        <f aca="false">H65/O65</f>
        <v>554.150943396227</v>
      </c>
      <c r="Q65" s="2" t="str">
        <f aca="false">IF(G65&lt;2010,"Legacy (pre-2010)",IF(G65&lt;=2017,"Established (2010-2017)","Emerging (2018+)"))</f>
        <v>Legacy (pre-2010)</v>
      </c>
    </row>
    <row r="66" customFormat="false" ht="15" hidden="false" customHeight="false" outlineLevel="0" collapsed="false">
      <c r="A66" s="2" t="s">
        <v>105</v>
      </c>
      <c r="B66" s="2" t="s">
        <v>15</v>
      </c>
      <c r="C66" s="2" t="s">
        <v>34</v>
      </c>
      <c r="D66" s="2" t="s">
        <v>17</v>
      </c>
      <c r="E66" s="2" t="s">
        <v>23</v>
      </c>
      <c r="F66" s="2" t="s">
        <v>19</v>
      </c>
      <c r="G66" s="2" t="n">
        <v>2012</v>
      </c>
      <c r="H66" s="3" t="n">
        <v>29197.2</v>
      </c>
      <c r="I66" s="3" t="n">
        <v>24125.8</v>
      </c>
      <c r="J66" s="3" t="n">
        <v>5078.3</v>
      </c>
      <c r="K66" s="3" t="n">
        <v>17995.2</v>
      </c>
      <c r="L66" s="4" t="n">
        <v>61.6333073</v>
      </c>
      <c r="M66" s="3" t="n">
        <v>11202</v>
      </c>
      <c r="N66" s="4" t="n">
        <v>38.3666927</v>
      </c>
      <c r="O66" s="9" t="n">
        <f aca="false">$C$5-G66</f>
        <v>14</v>
      </c>
      <c r="P66" s="3" t="n">
        <f aca="false">H66/O66</f>
        <v>2085.51428571429</v>
      </c>
      <c r="Q66" s="2" t="str">
        <f aca="false">IF(G66&lt;2010,"Legacy (pre-2010)",IF(G66&lt;=2017,"Established (2010-2017)","Emerging (2018+)"))</f>
        <v>Established (2010-2017)</v>
      </c>
    </row>
    <row r="67" customFormat="false" ht="15" hidden="false" customHeight="false" outlineLevel="0" collapsed="false">
      <c r="A67" s="2" t="s">
        <v>106</v>
      </c>
      <c r="B67" s="2" t="s">
        <v>79</v>
      </c>
      <c r="C67" s="2" t="s">
        <v>34</v>
      </c>
      <c r="D67" s="2" t="s">
        <v>17</v>
      </c>
      <c r="E67" s="2" t="s">
        <v>23</v>
      </c>
      <c r="F67" s="2" t="s">
        <v>49</v>
      </c>
      <c r="G67" s="2" t="n">
        <v>2011</v>
      </c>
      <c r="H67" s="3" t="n">
        <v>28889.5</v>
      </c>
      <c r="I67" s="3" t="n">
        <v>28898.2</v>
      </c>
      <c r="J67" s="3" t="n">
        <v>0</v>
      </c>
      <c r="K67" s="3" t="n">
        <v>28801.9</v>
      </c>
      <c r="L67" s="4" t="n">
        <v>99.69677565</v>
      </c>
      <c r="M67" s="3" t="n">
        <v>87.6</v>
      </c>
      <c r="N67" s="4" t="n">
        <v>0.3032243549</v>
      </c>
      <c r="O67" s="9" t="n">
        <f aca="false">$C$5-G67</f>
        <v>15</v>
      </c>
      <c r="P67" s="3" t="n">
        <f aca="false">H67/O67</f>
        <v>1925.96666666667</v>
      </c>
      <c r="Q67" s="2" t="str">
        <f aca="false">IF(G67&lt;2010,"Legacy (pre-2010)",IF(G67&lt;=2017,"Established (2010-2017)","Emerging (2018+)"))</f>
        <v>Established (2010-2017)</v>
      </c>
    </row>
    <row r="68" customFormat="false" ht="15" hidden="false" customHeight="false" outlineLevel="0" collapsed="false">
      <c r="A68" s="2" t="s">
        <v>107</v>
      </c>
      <c r="B68" s="2" t="s">
        <v>15</v>
      </c>
      <c r="C68" s="2" t="s">
        <v>22</v>
      </c>
      <c r="D68" s="2" t="s">
        <v>17</v>
      </c>
      <c r="E68" s="2" t="s">
        <v>18</v>
      </c>
      <c r="F68" s="2" t="s">
        <v>19</v>
      </c>
      <c r="G68" s="2" t="n">
        <v>2013</v>
      </c>
      <c r="H68" s="3" t="n">
        <v>28848.7</v>
      </c>
      <c r="I68" s="3" t="n">
        <v>13945.2</v>
      </c>
      <c r="J68" s="3" t="n">
        <v>14911.9</v>
      </c>
      <c r="K68" s="3" t="n">
        <v>119.7</v>
      </c>
      <c r="L68" s="4" t="n">
        <v>0.4149233761</v>
      </c>
      <c r="M68" s="3" t="n">
        <v>28729</v>
      </c>
      <c r="N68" s="4" t="n">
        <v>99.58507662</v>
      </c>
      <c r="O68" s="9" t="n">
        <f aca="false">$C$5-G68</f>
        <v>13</v>
      </c>
      <c r="P68" s="3" t="n">
        <f aca="false">H68/O68</f>
        <v>2219.13076923077</v>
      </c>
      <c r="Q68" s="2" t="str">
        <f aca="false">IF(G68&lt;2010,"Legacy (pre-2010)",IF(G68&lt;=2017,"Established (2010-2017)","Emerging (2018+)"))</f>
        <v>Established (2010-2017)</v>
      </c>
    </row>
    <row r="69" customFormat="false" ht="15" hidden="false" customHeight="false" outlineLevel="0" collapsed="false">
      <c r="A69" s="2" t="s">
        <v>108</v>
      </c>
      <c r="B69" s="2" t="s">
        <v>21</v>
      </c>
      <c r="C69" s="2" t="s">
        <v>22</v>
      </c>
      <c r="D69" s="2" t="s">
        <v>17</v>
      </c>
      <c r="E69" s="2" t="s">
        <v>23</v>
      </c>
      <c r="F69" s="2" t="s">
        <v>19</v>
      </c>
      <c r="G69" s="2" t="n">
        <v>2021</v>
      </c>
      <c r="H69" s="3" t="n">
        <v>28799.7</v>
      </c>
      <c r="I69" s="3" t="n">
        <v>28797.6</v>
      </c>
      <c r="J69" s="3" t="n">
        <v>2.2</v>
      </c>
      <c r="K69" s="3" t="n">
        <v>26750.5</v>
      </c>
      <c r="L69" s="4" t="n">
        <v>92.8846481</v>
      </c>
      <c r="M69" s="3" t="n">
        <v>2049.2</v>
      </c>
      <c r="N69" s="4" t="n">
        <v>7.115351896</v>
      </c>
      <c r="O69" s="9" t="n">
        <f aca="false">$C$5-G69</f>
        <v>5</v>
      </c>
      <c r="P69" s="3" t="n">
        <f aca="false">H69/O69</f>
        <v>5759.94</v>
      </c>
      <c r="Q69" s="2" t="str">
        <f aca="false">IF(G69&lt;2010,"Legacy (pre-2010)",IF(G69&lt;=2017,"Established (2010-2017)","Emerging (2018+)"))</f>
        <v>Emerging (2018+)</v>
      </c>
    </row>
    <row r="70" customFormat="false" ht="15" hidden="false" customHeight="false" outlineLevel="0" collapsed="false">
      <c r="A70" s="2" t="s">
        <v>109</v>
      </c>
      <c r="B70" s="2" t="s">
        <v>21</v>
      </c>
      <c r="C70" s="2" t="s">
        <v>34</v>
      </c>
      <c r="D70" s="2" t="s">
        <v>17</v>
      </c>
      <c r="E70" s="2" t="s">
        <v>23</v>
      </c>
      <c r="F70" s="2" t="s">
        <v>19</v>
      </c>
      <c r="G70" s="2" t="n">
        <v>2008</v>
      </c>
      <c r="H70" s="3" t="n">
        <v>28690.5</v>
      </c>
      <c r="I70" s="3" t="n">
        <v>28699.5</v>
      </c>
      <c r="J70" s="3" t="n">
        <v>0</v>
      </c>
      <c r="K70" s="3" t="n">
        <v>28537.7</v>
      </c>
      <c r="L70" s="4" t="n">
        <v>99.46741953</v>
      </c>
      <c r="M70" s="3" t="n">
        <v>152.8</v>
      </c>
      <c r="N70" s="4" t="n">
        <v>0.5325804709</v>
      </c>
      <c r="O70" s="9" t="n">
        <f aca="false">$C$5-G70</f>
        <v>18</v>
      </c>
      <c r="P70" s="3" t="n">
        <f aca="false">H70/O70</f>
        <v>1593.91666666667</v>
      </c>
      <c r="Q70" s="2" t="str">
        <f aca="false">IF(G70&lt;2010,"Legacy (pre-2010)",IF(G70&lt;=2017,"Established (2010-2017)","Emerging (2018+)"))</f>
        <v>Legacy (pre-2010)</v>
      </c>
    </row>
    <row r="71" customFormat="false" ht="15" hidden="false" customHeight="false" outlineLevel="0" collapsed="false">
      <c r="A71" s="2" t="s">
        <v>110</v>
      </c>
      <c r="B71" s="2" t="s">
        <v>15</v>
      </c>
      <c r="C71" s="2" t="s">
        <v>72</v>
      </c>
      <c r="D71" s="2" t="s">
        <v>73</v>
      </c>
      <c r="E71" s="2" t="s">
        <v>23</v>
      </c>
      <c r="F71" s="2" t="s">
        <v>19</v>
      </c>
      <c r="G71" s="2" t="n">
        <v>2001</v>
      </c>
      <c r="H71" s="3" t="n">
        <v>28543.9</v>
      </c>
      <c r="I71" s="3" t="n">
        <v>25181.4</v>
      </c>
      <c r="J71" s="3" t="n">
        <v>3362.5</v>
      </c>
      <c r="K71" s="3" t="n">
        <v>11.7</v>
      </c>
      <c r="L71" s="4" t="n">
        <v>0.04098949338</v>
      </c>
      <c r="M71" s="3" t="n">
        <v>28532.2</v>
      </c>
      <c r="N71" s="4" t="n">
        <v>99.95901051</v>
      </c>
      <c r="O71" s="9" t="n">
        <f aca="false">$C$5-G71</f>
        <v>25</v>
      </c>
      <c r="P71" s="3" t="n">
        <f aca="false">H71/O71</f>
        <v>1141.756</v>
      </c>
      <c r="Q71" s="2" t="str">
        <f aca="false">IF(G71&lt;2010,"Legacy (pre-2010)",IF(G71&lt;=2017,"Established (2010-2017)","Emerging (2018+)"))</f>
        <v>Legacy (pre-2010)</v>
      </c>
    </row>
    <row r="72" customFormat="false" ht="15" hidden="false" customHeight="false" outlineLevel="0" collapsed="false">
      <c r="A72" s="2" t="s">
        <v>111</v>
      </c>
      <c r="B72" s="2" t="s">
        <v>21</v>
      </c>
      <c r="C72" s="2" t="s">
        <v>22</v>
      </c>
      <c r="D72" s="2" t="s">
        <v>17</v>
      </c>
      <c r="E72" s="2" t="s">
        <v>23</v>
      </c>
      <c r="F72" s="2" t="s">
        <v>19</v>
      </c>
      <c r="G72" s="2" t="n">
        <v>2001</v>
      </c>
      <c r="H72" s="3" t="n">
        <v>28248</v>
      </c>
      <c r="I72" s="3" t="n">
        <v>25287.5</v>
      </c>
      <c r="J72" s="3" t="n">
        <v>2977.8</v>
      </c>
      <c r="K72" s="3" t="n">
        <v>19629.7</v>
      </c>
      <c r="L72" s="4" t="n">
        <v>69.4905834</v>
      </c>
      <c r="M72" s="3" t="n">
        <v>8618.3</v>
      </c>
      <c r="N72" s="4" t="n">
        <v>30.5094166</v>
      </c>
      <c r="O72" s="9" t="n">
        <f aca="false">$C$5-G72</f>
        <v>25</v>
      </c>
      <c r="P72" s="3" t="n">
        <f aca="false">H72/O72</f>
        <v>1129.92</v>
      </c>
      <c r="Q72" s="2" t="str">
        <f aca="false">IF(G72&lt;2010,"Legacy (pre-2010)",IF(G72&lt;=2017,"Established (2010-2017)","Emerging (2018+)"))</f>
        <v>Legacy (pre-2010)</v>
      </c>
    </row>
    <row r="73" customFormat="false" ht="15" hidden="false" customHeight="false" outlineLevel="0" collapsed="false">
      <c r="A73" s="2" t="s">
        <v>112</v>
      </c>
      <c r="B73" s="2" t="s">
        <v>15</v>
      </c>
      <c r="C73" s="2" t="s">
        <v>22</v>
      </c>
      <c r="D73" s="2" t="s">
        <v>17</v>
      </c>
      <c r="E73" s="2" t="s">
        <v>18</v>
      </c>
      <c r="F73" s="2" t="s">
        <v>19</v>
      </c>
      <c r="G73" s="2" t="n">
        <v>2013</v>
      </c>
      <c r="H73" s="3" t="n">
        <v>28195.8</v>
      </c>
      <c r="I73" s="3" t="n">
        <v>12491.3</v>
      </c>
      <c r="J73" s="3" t="n">
        <v>15715.6</v>
      </c>
      <c r="K73" s="3" t="n">
        <v>7949.8</v>
      </c>
      <c r="L73" s="4" t="n">
        <v>28.19497939</v>
      </c>
      <c r="M73" s="3" t="n">
        <v>20246</v>
      </c>
      <c r="N73" s="4" t="n">
        <v>71.80502061</v>
      </c>
      <c r="O73" s="9" t="n">
        <f aca="false">$C$5-G73</f>
        <v>13</v>
      </c>
      <c r="P73" s="3" t="n">
        <f aca="false">H73/O73</f>
        <v>2168.90769230769</v>
      </c>
      <c r="Q73" s="2" t="str">
        <f aca="false">IF(G73&lt;2010,"Legacy (pre-2010)",IF(G73&lt;=2017,"Established (2010-2017)","Emerging (2018+)"))</f>
        <v>Established (2010-2017)</v>
      </c>
    </row>
    <row r="74" customFormat="false" ht="15" hidden="false" customHeight="false" outlineLevel="0" collapsed="false">
      <c r="A74" s="2" t="s">
        <v>113</v>
      </c>
      <c r="B74" s="2" t="s">
        <v>15</v>
      </c>
      <c r="C74" s="2" t="s">
        <v>34</v>
      </c>
      <c r="D74" s="2" t="s">
        <v>17</v>
      </c>
      <c r="E74" s="2" t="s">
        <v>52</v>
      </c>
      <c r="F74" s="2" t="s">
        <v>49</v>
      </c>
      <c r="G74" s="2" t="n">
        <v>2005</v>
      </c>
      <c r="H74" s="3" t="n">
        <v>28155.4</v>
      </c>
      <c r="I74" s="3" t="n">
        <v>28166.2</v>
      </c>
      <c r="J74" s="3" t="n">
        <v>0</v>
      </c>
      <c r="K74" s="3" t="n">
        <v>28130.4</v>
      </c>
      <c r="L74" s="4" t="n">
        <v>99.91120709</v>
      </c>
      <c r="M74" s="3" t="n">
        <v>25</v>
      </c>
      <c r="N74" s="4" t="n">
        <v>0.08879291362</v>
      </c>
      <c r="O74" s="9" t="n">
        <f aca="false">$C$5-G74</f>
        <v>21</v>
      </c>
      <c r="P74" s="3" t="n">
        <f aca="false">H74/O74</f>
        <v>1340.73333333333</v>
      </c>
      <c r="Q74" s="2" t="str">
        <f aca="false">IF(G74&lt;2010,"Legacy (pre-2010)",IF(G74&lt;=2017,"Established (2010-2017)","Emerging (2018+)"))</f>
        <v>Legacy (pre-2010)</v>
      </c>
    </row>
    <row r="75" customFormat="false" ht="15" hidden="false" customHeight="false" outlineLevel="0" collapsed="false">
      <c r="A75" s="2" t="s">
        <v>114</v>
      </c>
      <c r="B75" s="2" t="s">
        <v>15</v>
      </c>
      <c r="C75" s="2" t="s">
        <v>22</v>
      </c>
      <c r="D75" s="2" t="s">
        <v>25</v>
      </c>
      <c r="E75" s="2" t="s">
        <v>83</v>
      </c>
      <c r="F75" s="2" t="s">
        <v>49</v>
      </c>
      <c r="G75" s="2" t="n">
        <v>2018</v>
      </c>
      <c r="H75" s="3" t="n">
        <v>27466.8</v>
      </c>
      <c r="I75" s="3" t="n">
        <v>19814.7</v>
      </c>
      <c r="J75" s="3" t="n">
        <v>7652.1</v>
      </c>
      <c r="K75" s="3" t="n">
        <v>11576.2</v>
      </c>
      <c r="L75" s="4" t="n">
        <v>42.14615463</v>
      </c>
      <c r="M75" s="3" t="n">
        <v>15890.6</v>
      </c>
      <c r="N75" s="4" t="n">
        <v>57.85384537</v>
      </c>
      <c r="O75" s="9" t="n">
        <f aca="false">$C$5-G75</f>
        <v>8</v>
      </c>
      <c r="P75" s="3" t="n">
        <f aca="false">H75/O75</f>
        <v>3433.35</v>
      </c>
      <c r="Q75" s="2" t="str">
        <f aca="false">IF(G75&lt;2010,"Legacy (pre-2010)",IF(G75&lt;=2017,"Established (2010-2017)","Emerging (2018+)"))</f>
        <v>Emerging (2018+)</v>
      </c>
    </row>
    <row r="76" customFormat="false" ht="15" hidden="false" customHeight="false" outlineLevel="0" collapsed="false">
      <c r="A76" s="2" t="s">
        <v>115</v>
      </c>
      <c r="B76" s="2" t="s">
        <v>15</v>
      </c>
      <c r="C76" s="2" t="s">
        <v>90</v>
      </c>
      <c r="D76" s="2" t="s">
        <v>25</v>
      </c>
      <c r="E76" s="2" t="s">
        <v>91</v>
      </c>
      <c r="F76" s="2" t="s">
        <v>19</v>
      </c>
      <c r="G76" s="2" t="n">
        <v>2019</v>
      </c>
      <c r="H76" s="3" t="n">
        <v>27406.8</v>
      </c>
      <c r="I76" s="3" t="n">
        <v>18341.2</v>
      </c>
      <c r="J76" s="3" t="n">
        <v>9084.4</v>
      </c>
      <c r="K76" s="3" t="n">
        <v>13658.7</v>
      </c>
      <c r="L76" s="4" t="n">
        <v>49.83690179</v>
      </c>
      <c r="M76" s="3" t="n">
        <v>13748.1</v>
      </c>
      <c r="N76" s="4" t="n">
        <v>50.16309821</v>
      </c>
      <c r="O76" s="9" t="n">
        <f aca="false">$C$5-G76</f>
        <v>7</v>
      </c>
      <c r="P76" s="3" t="n">
        <f aca="false">H76/O76</f>
        <v>3915.25714285714</v>
      </c>
      <c r="Q76" s="2" t="str">
        <f aca="false">IF(G76&lt;2010,"Legacy (pre-2010)",IF(G76&lt;=2017,"Established (2010-2017)","Emerging (2018+)"))</f>
        <v>Emerging (2018+)</v>
      </c>
    </row>
    <row r="77" customFormat="false" ht="15" hidden="false" customHeight="false" outlineLevel="0" collapsed="false">
      <c r="A77" s="2" t="s">
        <v>116</v>
      </c>
      <c r="B77" s="2" t="s">
        <v>15</v>
      </c>
      <c r="C77" s="2" t="s">
        <v>22</v>
      </c>
      <c r="D77" s="2" t="s">
        <v>17</v>
      </c>
      <c r="E77" s="2" t="s">
        <v>18</v>
      </c>
      <c r="F77" s="2" t="s">
        <v>19</v>
      </c>
      <c r="G77" s="2" t="n">
        <v>2009</v>
      </c>
      <c r="H77" s="3" t="n">
        <v>27125.8</v>
      </c>
      <c r="I77" s="3" t="n">
        <v>23925.9</v>
      </c>
      <c r="J77" s="3" t="n">
        <v>3208.7</v>
      </c>
      <c r="K77" s="3" t="n">
        <v>11656.5</v>
      </c>
      <c r="L77" s="4" t="n">
        <v>42.97200451</v>
      </c>
      <c r="M77" s="3" t="n">
        <v>15469.3</v>
      </c>
      <c r="N77" s="4" t="n">
        <v>57.02799549</v>
      </c>
      <c r="O77" s="9" t="n">
        <f aca="false">$C$5-G77</f>
        <v>17</v>
      </c>
      <c r="P77" s="3" t="n">
        <f aca="false">H77/O77</f>
        <v>1595.63529411765</v>
      </c>
      <c r="Q77" s="2" t="str">
        <f aca="false">IF(G77&lt;2010,"Legacy (pre-2010)",IF(G77&lt;=2017,"Established (2010-2017)","Emerging (2018+)"))</f>
        <v>Legacy (pre-2010)</v>
      </c>
    </row>
    <row r="78" customFormat="false" ht="15" hidden="false" customHeight="false" outlineLevel="0" collapsed="false">
      <c r="A78" s="2" t="s">
        <v>117</v>
      </c>
      <c r="B78" s="2" t="s">
        <v>21</v>
      </c>
      <c r="C78" s="2" t="s">
        <v>22</v>
      </c>
      <c r="D78" s="2" t="s">
        <v>17</v>
      </c>
      <c r="E78" s="2" t="s">
        <v>23</v>
      </c>
      <c r="F78" s="2" t="s">
        <v>19</v>
      </c>
      <c r="G78" s="2" t="n">
        <v>2008</v>
      </c>
      <c r="H78" s="3" t="n">
        <v>26895.1</v>
      </c>
      <c r="I78" s="3" t="n">
        <v>16017.5</v>
      </c>
      <c r="J78" s="3" t="n">
        <v>10884.4</v>
      </c>
      <c r="K78" s="3" t="n">
        <v>10921.5</v>
      </c>
      <c r="L78" s="4" t="n">
        <v>40.6077687</v>
      </c>
      <c r="M78" s="3" t="n">
        <v>15973.6</v>
      </c>
      <c r="N78" s="4" t="n">
        <v>59.3922313</v>
      </c>
      <c r="O78" s="9" t="n">
        <f aca="false">$C$5-G78</f>
        <v>18</v>
      </c>
      <c r="P78" s="3" t="n">
        <f aca="false">H78/O78</f>
        <v>1494.17222222222</v>
      </c>
      <c r="Q78" s="2" t="str">
        <f aca="false">IF(G78&lt;2010,"Legacy (pre-2010)",IF(G78&lt;=2017,"Established (2010-2017)","Emerging (2018+)"))</f>
        <v>Legacy (pre-2010)</v>
      </c>
    </row>
    <row r="79" customFormat="false" ht="15" hidden="false" customHeight="false" outlineLevel="0" collapsed="false">
      <c r="A79" s="2" t="s">
        <v>118</v>
      </c>
      <c r="B79" s="2" t="s">
        <v>15</v>
      </c>
      <c r="C79" s="2" t="s">
        <v>22</v>
      </c>
      <c r="D79" s="2" t="s">
        <v>17</v>
      </c>
      <c r="E79" s="2" t="s">
        <v>28</v>
      </c>
      <c r="F79" s="2" t="s">
        <v>19</v>
      </c>
      <c r="G79" s="2" t="n">
        <v>2011</v>
      </c>
      <c r="H79" s="3" t="n">
        <v>26465.2</v>
      </c>
      <c r="I79" s="3" t="n">
        <v>5073.8</v>
      </c>
      <c r="J79" s="3" t="n">
        <v>21394.8</v>
      </c>
      <c r="K79" s="3" t="n">
        <v>318.4</v>
      </c>
      <c r="L79" s="4" t="n">
        <v>1.20308934</v>
      </c>
      <c r="M79" s="3" t="n">
        <v>26146.8</v>
      </c>
      <c r="N79" s="4" t="n">
        <v>98.79691066</v>
      </c>
      <c r="O79" s="9" t="n">
        <f aca="false">$C$5-G79</f>
        <v>15</v>
      </c>
      <c r="P79" s="3" t="n">
        <f aca="false">H79/O79</f>
        <v>1764.34666666667</v>
      </c>
      <c r="Q79" s="2" t="str">
        <f aca="false">IF(G79&lt;2010,"Legacy (pre-2010)",IF(G79&lt;=2017,"Established (2010-2017)","Emerging (2018+)"))</f>
        <v>Established (2010-2017)</v>
      </c>
    </row>
    <row r="80" customFormat="false" ht="15" hidden="false" customHeight="false" outlineLevel="0" collapsed="false">
      <c r="A80" s="2" t="s">
        <v>119</v>
      </c>
      <c r="B80" s="2" t="s">
        <v>15</v>
      </c>
      <c r="C80" s="2" t="s">
        <v>34</v>
      </c>
      <c r="D80" s="2" t="s">
        <v>17</v>
      </c>
      <c r="E80" s="2" t="s">
        <v>52</v>
      </c>
      <c r="F80" s="2" t="s">
        <v>49</v>
      </c>
      <c r="G80" s="2" t="n">
        <v>1962</v>
      </c>
      <c r="H80" s="3" t="n">
        <v>26130.5</v>
      </c>
      <c r="I80" s="3" t="n">
        <v>26138.7</v>
      </c>
      <c r="J80" s="3" t="n">
        <v>2.2</v>
      </c>
      <c r="K80" s="3" t="n">
        <v>26123</v>
      </c>
      <c r="L80" s="4" t="n">
        <v>99.97129791</v>
      </c>
      <c r="M80" s="3" t="n">
        <v>7.5</v>
      </c>
      <c r="N80" s="4" t="n">
        <v>0.02870209143</v>
      </c>
      <c r="O80" s="9" t="n">
        <f aca="false">$C$5-G80</f>
        <v>64</v>
      </c>
      <c r="P80" s="3" t="n">
        <f aca="false">H80/O80</f>
        <v>408.2890625</v>
      </c>
      <c r="Q80" s="2" t="str">
        <f aca="false">IF(G80&lt;2010,"Legacy (pre-2010)",IF(G80&lt;=2017,"Established (2010-2017)","Emerging (2018+)"))</f>
        <v>Legacy (pre-2010)</v>
      </c>
    </row>
    <row r="81" customFormat="false" ht="15" hidden="false" customHeight="false" outlineLevel="0" collapsed="false">
      <c r="A81" s="2" t="s">
        <v>120</v>
      </c>
      <c r="B81" s="2" t="s">
        <v>15</v>
      </c>
      <c r="C81" s="2" t="s">
        <v>22</v>
      </c>
      <c r="D81" s="2" t="s">
        <v>17</v>
      </c>
      <c r="E81" s="2" t="s">
        <v>23</v>
      </c>
      <c r="F81" s="2" t="s">
        <v>19</v>
      </c>
      <c r="G81" s="2" t="n">
        <v>2004</v>
      </c>
      <c r="H81" s="3" t="n">
        <v>25875.8</v>
      </c>
      <c r="I81" s="3" t="n">
        <v>18250.9</v>
      </c>
      <c r="J81" s="3" t="n">
        <v>7641</v>
      </c>
      <c r="K81" s="3" t="n">
        <v>2321.7</v>
      </c>
      <c r="L81" s="4" t="n">
        <v>8.972476213</v>
      </c>
      <c r="M81" s="3" t="n">
        <v>23554.1</v>
      </c>
      <c r="N81" s="4" t="n">
        <v>91.02752379</v>
      </c>
      <c r="O81" s="9" t="n">
        <f aca="false">$C$5-G81</f>
        <v>22</v>
      </c>
      <c r="P81" s="3" t="n">
        <f aca="false">H81/O81</f>
        <v>1176.17272727273</v>
      </c>
      <c r="Q81" s="2" t="str">
        <f aca="false">IF(G81&lt;2010,"Legacy (pre-2010)",IF(G81&lt;=2017,"Established (2010-2017)","Emerging (2018+)"))</f>
        <v>Legacy (pre-2010)</v>
      </c>
    </row>
    <row r="82" customFormat="false" ht="15" hidden="false" customHeight="false" outlineLevel="0" collapsed="false">
      <c r="A82" s="2" t="s">
        <v>121</v>
      </c>
      <c r="B82" s="2" t="s">
        <v>15</v>
      </c>
      <c r="C82" s="2" t="s">
        <v>22</v>
      </c>
      <c r="D82" s="2" t="s">
        <v>25</v>
      </c>
      <c r="E82" s="2" t="s">
        <v>26</v>
      </c>
      <c r="F82" s="2" t="s">
        <v>19</v>
      </c>
      <c r="G82" s="2" t="n">
        <v>1995</v>
      </c>
      <c r="H82" s="3" t="n">
        <v>25875.4</v>
      </c>
      <c r="I82" s="3" t="n">
        <v>11175.4</v>
      </c>
      <c r="J82" s="3" t="n">
        <v>14672</v>
      </c>
      <c r="K82" s="3" t="n">
        <v>2972.5</v>
      </c>
      <c r="L82" s="4" t="n">
        <v>11.48774512</v>
      </c>
      <c r="M82" s="3" t="n">
        <v>22902.9</v>
      </c>
      <c r="N82" s="4" t="n">
        <v>88.51225488</v>
      </c>
      <c r="O82" s="9" t="n">
        <f aca="false">$C$5-G82</f>
        <v>31</v>
      </c>
      <c r="P82" s="3" t="n">
        <f aca="false">H82/O82</f>
        <v>834.690322580645</v>
      </c>
      <c r="Q82" s="2" t="str">
        <f aca="false">IF(G82&lt;2010,"Legacy (pre-2010)",IF(G82&lt;=2017,"Established (2010-2017)","Emerging (2018+)"))</f>
        <v>Legacy (pre-2010)</v>
      </c>
    </row>
    <row r="83" customFormat="false" ht="15" hidden="false" customHeight="false" outlineLevel="0" collapsed="false">
      <c r="A83" s="2" t="s">
        <v>122</v>
      </c>
      <c r="B83" s="2" t="s">
        <v>15</v>
      </c>
      <c r="C83" s="2" t="s">
        <v>22</v>
      </c>
      <c r="D83" s="2" t="s">
        <v>17</v>
      </c>
      <c r="E83" s="2" t="s">
        <v>18</v>
      </c>
      <c r="F83" s="2" t="s">
        <v>19</v>
      </c>
      <c r="G83" s="2" t="n">
        <v>2011</v>
      </c>
      <c r="H83" s="3" t="n">
        <v>25818.4</v>
      </c>
      <c r="I83" s="3" t="n">
        <v>15382.2</v>
      </c>
      <c r="J83" s="3" t="n">
        <v>10446.9</v>
      </c>
      <c r="K83" s="3" t="n">
        <v>10109.8</v>
      </c>
      <c r="L83" s="4" t="n">
        <v>39.15734515</v>
      </c>
      <c r="M83" s="3" t="n">
        <v>15708.6</v>
      </c>
      <c r="N83" s="4" t="n">
        <v>60.84265485</v>
      </c>
      <c r="O83" s="9" t="n">
        <f aca="false">$C$5-G83</f>
        <v>15</v>
      </c>
      <c r="P83" s="3" t="n">
        <f aca="false">H83/O83</f>
        <v>1721.22666666667</v>
      </c>
      <c r="Q83" s="2" t="str">
        <f aca="false">IF(G83&lt;2010,"Legacy (pre-2010)",IF(G83&lt;=2017,"Established (2010-2017)","Emerging (2018+)"))</f>
        <v>Established (2010-2017)</v>
      </c>
    </row>
    <row r="84" customFormat="false" ht="15" hidden="false" customHeight="false" outlineLevel="0" collapsed="false">
      <c r="A84" s="2" t="s">
        <v>123</v>
      </c>
      <c r="B84" s="2" t="s">
        <v>21</v>
      </c>
      <c r="C84" s="2" t="s">
        <v>22</v>
      </c>
      <c r="D84" s="2" t="s">
        <v>17</v>
      </c>
      <c r="E84" s="2" t="s">
        <v>23</v>
      </c>
      <c r="F84" s="2" t="s">
        <v>19</v>
      </c>
      <c r="G84" s="2" t="n">
        <v>2014</v>
      </c>
      <c r="H84" s="3" t="n">
        <v>25687.5</v>
      </c>
      <c r="I84" s="3" t="n">
        <v>13902.2</v>
      </c>
      <c r="J84" s="3" t="n">
        <v>11792.3</v>
      </c>
      <c r="K84" s="3" t="n">
        <v>12376.1</v>
      </c>
      <c r="L84" s="4" t="n">
        <v>48.17946472</v>
      </c>
      <c r="M84" s="3" t="n">
        <v>13311.4</v>
      </c>
      <c r="N84" s="4" t="n">
        <v>51.82053528</v>
      </c>
      <c r="O84" s="9" t="n">
        <f aca="false">$C$5-G84</f>
        <v>12</v>
      </c>
      <c r="P84" s="3" t="n">
        <f aca="false">H84/O84</f>
        <v>2140.625</v>
      </c>
      <c r="Q84" s="2" t="str">
        <f aca="false">IF(G84&lt;2010,"Legacy (pre-2010)",IF(G84&lt;=2017,"Established (2010-2017)","Emerging (2018+)"))</f>
        <v>Established (2010-2017)</v>
      </c>
    </row>
    <row r="85" customFormat="false" ht="15" hidden="false" customHeight="false" outlineLevel="0" collapsed="false">
      <c r="A85" s="2" t="s">
        <v>124</v>
      </c>
      <c r="B85" s="2" t="s">
        <v>15</v>
      </c>
      <c r="C85" s="2" t="s">
        <v>22</v>
      </c>
      <c r="D85" s="2" t="s">
        <v>17</v>
      </c>
      <c r="E85" s="2" t="s">
        <v>18</v>
      </c>
      <c r="F85" s="2" t="s">
        <v>19</v>
      </c>
      <c r="G85" s="2" t="n">
        <v>2006</v>
      </c>
      <c r="H85" s="3" t="n">
        <v>25289.9</v>
      </c>
      <c r="I85" s="3" t="n">
        <v>11748.9</v>
      </c>
      <c r="J85" s="3" t="n">
        <v>13549.3</v>
      </c>
      <c r="K85" s="3" t="n">
        <v>4844.5</v>
      </c>
      <c r="L85" s="4" t="n">
        <v>19.15586855</v>
      </c>
      <c r="M85" s="3" t="n">
        <v>20445.4</v>
      </c>
      <c r="N85" s="4" t="n">
        <v>80.84413145</v>
      </c>
      <c r="O85" s="9" t="n">
        <f aca="false">$C$5-G85</f>
        <v>20</v>
      </c>
      <c r="P85" s="3" t="n">
        <f aca="false">H85/O85</f>
        <v>1264.495</v>
      </c>
      <c r="Q85" s="2" t="str">
        <f aca="false">IF(G85&lt;2010,"Legacy (pre-2010)",IF(G85&lt;=2017,"Established (2010-2017)","Emerging (2018+)"))</f>
        <v>Legacy (pre-2010)</v>
      </c>
    </row>
    <row r="86" customFormat="false" ht="15" hidden="false" customHeight="false" outlineLevel="0" collapsed="false">
      <c r="A86" s="2" t="s">
        <v>125</v>
      </c>
      <c r="B86" s="2" t="s">
        <v>15</v>
      </c>
      <c r="C86" s="2" t="s">
        <v>22</v>
      </c>
      <c r="D86" s="2" t="s">
        <v>17</v>
      </c>
      <c r="E86" s="2" t="s">
        <v>23</v>
      </c>
      <c r="F86" s="2" t="s">
        <v>19</v>
      </c>
      <c r="G86" s="2" t="n">
        <v>1964</v>
      </c>
      <c r="H86" s="3" t="n">
        <v>25264.4</v>
      </c>
      <c r="I86" s="3" t="n">
        <v>24355.5</v>
      </c>
      <c r="J86" s="3" t="n">
        <v>908.9</v>
      </c>
      <c r="K86" s="3" t="n">
        <v>22915.3</v>
      </c>
      <c r="L86" s="4" t="n">
        <v>90.70193632</v>
      </c>
      <c r="M86" s="3" t="n">
        <v>2349.1</v>
      </c>
      <c r="N86" s="4" t="n">
        <v>9.298063679</v>
      </c>
      <c r="O86" s="9" t="n">
        <f aca="false">$C$5-G86</f>
        <v>62</v>
      </c>
      <c r="P86" s="3" t="n">
        <f aca="false">H86/O86</f>
        <v>407.490322580645</v>
      </c>
      <c r="Q86" s="2" t="str">
        <f aca="false">IF(G86&lt;2010,"Legacy (pre-2010)",IF(G86&lt;=2017,"Established (2010-2017)","Emerging (2018+)"))</f>
        <v>Legacy (pre-2010)</v>
      </c>
    </row>
    <row r="87" customFormat="false" ht="15" hidden="false" customHeight="false" outlineLevel="0" collapsed="false">
      <c r="A87" s="2" t="s">
        <v>126</v>
      </c>
      <c r="B87" s="2" t="s">
        <v>21</v>
      </c>
      <c r="C87" s="2" t="s">
        <v>22</v>
      </c>
      <c r="D87" s="2" t="s">
        <v>17</v>
      </c>
      <c r="E87" s="2" t="s">
        <v>23</v>
      </c>
      <c r="F87" s="2" t="s">
        <v>19</v>
      </c>
      <c r="G87" s="2" t="n">
        <v>2014</v>
      </c>
      <c r="H87" s="3" t="n">
        <v>24888.6</v>
      </c>
      <c r="I87" s="3" t="n">
        <v>22789.6</v>
      </c>
      <c r="J87" s="3" t="n">
        <v>2114.3</v>
      </c>
      <c r="K87" s="3" t="n">
        <v>22549.4</v>
      </c>
      <c r="L87" s="4" t="n">
        <v>90.60131948</v>
      </c>
      <c r="M87" s="3" t="n">
        <v>2339.2</v>
      </c>
      <c r="N87" s="4" t="n">
        <v>9.39868052</v>
      </c>
      <c r="O87" s="9" t="n">
        <f aca="false">$C$5-G87</f>
        <v>12</v>
      </c>
      <c r="P87" s="3" t="n">
        <f aca="false">H87/O87</f>
        <v>2074.05</v>
      </c>
      <c r="Q87" s="2" t="str">
        <f aca="false">IF(G87&lt;2010,"Legacy (pre-2010)",IF(G87&lt;=2017,"Established (2010-2017)","Emerging (2018+)"))</f>
        <v>Established (2010-2017)</v>
      </c>
    </row>
    <row r="88" customFormat="false" ht="15" hidden="false" customHeight="false" outlineLevel="0" collapsed="false">
      <c r="A88" s="2" t="s">
        <v>127</v>
      </c>
      <c r="B88" s="2" t="s">
        <v>15</v>
      </c>
      <c r="C88" s="2" t="s">
        <v>22</v>
      </c>
      <c r="D88" s="2" t="s">
        <v>17</v>
      </c>
      <c r="E88" s="2" t="s">
        <v>28</v>
      </c>
      <c r="F88" s="2" t="s">
        <v>19</v>
      </c>
      <c r="G88" s="2" t="n">
        <v>2011</v>
      </c>
      <c r="H88" s="3" t="n">
        <v>24807.4</v>
      </c>
      <c r="I88" s="3" t="n">
        <v>20425.4</v>
      </c>
      <c r="J88" s="3" t="n">
        <v>4391.5</v>
      </c>
      <c r="K88" s="3" t="n">
        <v>18809.3</v>
      </c>
      <c r="L88" s="4" t="n">
        <v>75.82132751</v>
      </c>
      <c r="M88" s="3" t="n">
        <v>5998.1</v>
      </c>
      <c r="N88" s="4" t="n">
        <v>24.17867249</v>
      </c>
      <c r="O88" s="9" t="n">
        <f aca="false">$C$5-G88</f>
        <v>15</v>
      </c>
      <c r="P88" s="3" t="n">
        <f aca="false">H88/O88</f>
        <v>1653.82666666667</v>
      </c>
      <c r="Q88" s="2" t="str">
        <f aca="false">IF(G88&lt;2010,"Legacy (pre-2010)",IF(G88&lt;=2017,"Established (2010-2017)","Emerging (2018+)"))</f>
        <v>Established (2010-2017)</v>
      </c>
    </row>
    <row r="89" customFormat="false" ht="15" hidden="false" customHeight="false" outlineLevel="0" collapsed="false">
      <c r="A89" s="2" t="s">
        <v>128</v>
      </c>
      <c r="B89" s="2" t="s">
        <v>15</v>
      </c>
      <c r="C89" s="2" t="s">
        <v>129</v>
      </c>
      <c r="D89" s="2" t="s">
        <v>130</v>
      </c>
      <c r="E89" s="2" t="s">
        <v>131</v>
      </c>
      <c r="F89" s="2" t="s">
        <v>49</v>
      </c>
      <c r="G89" s="2" t="n">
        <v>1979</v>
      </c>
      <c r="H89" s="3" t="n">
        <v>24607</v>
      </c>
      <c r="I89" s="3" t="n">
        <v>24525.4</v>
      </c>
      <c r="J89" s="3" t="n">
        <v>81.6</v>
      </c>
      <c r="K89" s="3" t="n">
        <v>24410.8</v>
      </c>
      <c r="L89" s="4" t="n">
        <v>99.20266591</v>
      </c>
      <c r="M89" s="3" t="n">
        <v>196.2</v>
      </c>
      <c r="N89" s="4" t="n">
        <v>0.7973340919</v>
      </c>
      <c r="O89" s="9" t="n">
        <f aca="false">$C$5-G89</f>
        <v>47</v>
      </c>
      <c r="P89" s="3" t="n">
        <f aca="false">H89/O89</f>
        <v>523.553191489362</v>
      </c>
      <c r="Q89" s="2" t="str">
        <f aca="false">IF(G89&lt;2010,"Legacy (pre-2010)",IF(G89&lt;=2017,"Established (2010-2017)","Emerging (2018+)"))</f>
        <v>Legacy (pre-2010)</v>
      </c>
    </row>
    <row r="90" customFormat="false" ht="15" hidden="false" customHeight="false" outlineLevel="0" collapsed="false">
      <c r="A90" s="2" t="s">
        <v>132</v>
      </c>
      <c r="B90" s="2" t="s">
        <v>15</v>
      </c>
      <c r="C90" s="2" t="s">
        <v>22</v>
      </c>
      <c r="D90" s="2" t="s">
        <v>17</v>
      </c>
      <c r="E90" s="2" t="s">
        <v>18</v>
      </c>
      <c r="F90" s="2" t="s">
        <v>19</v>
      </c>
      <c r="G90" s="2" t="n">
        <v>1996</v>
      </c>
      <c r="H90" s="3" t="n">
        <v>24440.1</v>
      </c>
      <c r="I90" s="3" t="n">
        <v>13311.3</v>
      </c>
      <c r="J90" s="3" t="n">
        <v>11139.9</v>
      </c>
      <c r="K90" s="3" t="n">
        <v>2764.3</v>
      </c>
      <c r="L90" s="4" t="n">
        <v>11.31051019</v>
      </c>
      <c r="M90" s="3" t="n">
        <v>21675.8</v>
      </c>
      <c r="N90" s="4" t="n">
        <v>88.68948981</v>
      </c>
      <c r="O90" s="9" t="n">
        <f aca="false">$C$5-G90</f>
        <v>30</v>
      </c>
      <c r="P90" s="3" t="n">
        <f aca="false">H90/O90</f>
        <v>814.67</v>
      </c>
      <c r="Q90" s="2" t="str">
        <f aca="false">IF(G90&lt;2010,"Legacy (pre-2010)",IF(G90&lt;=2017,"Established (2010-2017)","Emerging (2018+)"))</f>
        <v>Legacy (pre-2010)</v>
      </c>
    </row>
    <row r="91" customFormat="false" ht="15" hidden="false" customHeight="false" outlineLevel="0" collapsed="false">
      <c r="A91" s="2" t="s">
        <v>133</v>
      </c>
      <c r="B91" s="2" t="s">
        <v>15</v>
      </c>
      <c r="C91" s="2" t="s">
        <v>22</v>
      </c>
      <c r="D91" s="2" t="s">
        <v>17</v>
      </c>
      <c r="E91" s="2" t="s">
        <v>18</v>
      </c>
      <c r="F91" s="2" t="s">
        <v>19</v>
      </c>
      <c r="G91" s="2" t="n">
        <v>2011</v>
      </c>
      <c r="H91" s="3" t="n">
        <v>24217.2</v>
      </c>
      <c r="I91" s="3" t="n">
        <v>14721.3</v>
      </c>
      <c r="J91" s="3" t="n">
        <v>9504.3</v>
      </c>
      <c r="K91" s="3" t="n">
        <v>6253.7</v>
      </c>
      <c r="L91" s="4" t="n">
        <v>25.82338173</v>
      </c>
      <c r="M91" s="3" t="n">
        <v>17963.5</v>
      </c>
      <c r="N91" s="4" t="n">
        <v>74.17661827</v>
      </c>
      <c r="O91" s="9" t="n">
        <f aca="false">$C$5-G91</f>
        <v>15</v>
      </c>
      <c r="P91" s="3" t="n">
        <f aca="false">H91/O91</f>
        <v>1614.48</v>
      </c>
      <c r="Q91" s="2" t="str">
        <f aca="false">IF(G91&lt;2010,"Legacy (pre-2010)",IF(G91&lt;=2017,"Established (2010-2017)","Emerging (2018+)"))</f>
        <v>Established (2010-2017)</v>
      </c>
    </row>
    <row r="92" customFormat="false" ht="15" hidden="false" customHeight="false" outlineLevel="0" collapsed="false">
      <c r="A92" s="2" t="s">
        <v>134</v>
      </c>
      <c r="B92" s="2" t="s">
        <v>21</v>
      </c>
      <c r="C92" s="2" t="s">
        <v>22</v>
      </c>
      <c r="D92" s="2" t="s">
        <v>17</v>
      </c>
      <c r="E92" s="2" t="s">
        <v>23</v>
      </c>
      <c r="F92" s="2" t="s">
        <v>19</v>
      </c>
      <c r="G92" s="2" t="n">
        <v>2006</v>
      </c>
      <c r="H92" s="3" t="n">
        <v>23907.6</v>
      </c>
      <c r="I92" s="3" t="n">
        <v>20739</v>
      </c>
      <c r="J92" s="3" t="n">
        <v>3175.7</v>
      </c>
      <c r="K92" s="3" t="n">
        <v>18453.9</v>
      </c>
      <c r="L92" s="4" t="n">
        <v>77.18842544</v>
      </c>
      <c r="M92" s="3" t="n">
        <v>5453.7</v>
      </c>
      <c r="N92" s="4" t="n">
        <v>22.81157456</v>
      </c>
      <c r="O92" s="9" t="n">
        <f aca="false">$C$5-G92</f>
        <v>20</v>
      </c>
      <c r="P92" s="3" t="n">
        <f aca="false">H92/O92</f>
        <v>1195.38</v>
      </c>
      <c r="Q92" s="2" t="str">
        <f aca="false">IF(G92&lt;2010,"Legacy (pre-2010)",IF(G92&lt;=2017,"Established (2010-2017)","Emerging (2018+)"))</f>
        <v>Legacy (pre-2010)</v>
      </c>
    </row>
    <row r="93" customFormat="false" ht="15" hidden="false" customHeight="false" outlineLevel="0" collapsed="false">
      <c r="A93" s="2" t="s">
        <v>135</v>
      </c>
      <c r="B93" s="2" t="s">
        <v>15</v>
      </c>
      <c r="C93" s="2" t="s">
        <v>22</v>
      </c>
      <c r="D93" s="2" t="s">
        <v>17</v>
      </c>
      <c r="E93" s="2" t="s">
        <v>61</v>
      </c>
      <c r="F93" s="2" t="s">
        <v>49</v>
      </c>
      <c r="G93" s="2" t="n">
        <v>2012</v>
      </c>
      <c r="H93" s="3" t="n">
        <v>23845.1</v>
      </c>
      <c r="I93" s="3" t="n">
        <v>22661.5</v>
      </c>
      <c r="J93" s="3" t="n">
        <v>1189.8</v>
      </c>
      <c r="K93" s="3" t="n">
        <v>3830.9</v>
      </c>
      <c r="L93" s="4" t="n">
        <v>16.06577452</v>
      </c>
      <c r="M93" s="3" t="n">
        <v>20014.2</v>
      </c>
      <c r="N93" s="4" t="n">
        <v>83.93422548</v>
      </c>
      <c r="O93" s="9" t="n">
        <f aca="false">$C$5-G93</f>
        <v>14</v>
      </c>
      <c r="P93" s="3" t="n">
        <f aca="false">H93/O93</f>
        <v>1703.22142857143</v>
      </c>
      <c r="Q93" s="2" t="str">
        <f aca="false">IF(G93&lt;2010,"Legacy (pre-2010)",IF(G93&lt;=2017,"Established (2010-2017)","Emerging (2018+)"))</f>
        <v>Established (2010-2017)</v>
      </c>
    </row>
    <row r="94" customFormat="false" ht="15" hidden="false" customHeight="false" outlineLevel="0" collapsed="false">
      <c r="A94" s="2" t="s">
        <v>136</v>
      </c>
      <c r="B94" s="2" t="s">
        <v>15</v>
      </c>
      <c r="C94" s="2" t="s">
        <v>22</v>
      </c>
      <c r="D94" s="2" t="s">
        <v>17</v>
      </c>
      <c r="E94" s="2" t="s">
        <v>61</v>
      </c>
      <c r="F94" s="2" t="s">
        <v>19</v>
      </c>
      <c r="G94" s="2" t="n">
        <v>2015</v>
      </c>
      <c r="H94" s="3" t="n">
        <v>23705.9</v>
      </c>
      <c r="I94" s="3" t="n">
        <v>17589.4</v>
      </c>
      <c r="J94" s="3" t="n">
        <v>6122.5</v>
      </c>
      <c r="K94" s="3" t="n">
        <v>1704.1</v>
      </c>
      <c r="L94" s="4" t="n">
        <v>7.188505815</v>
      </c>
      <c r="M94" s="3" t="n">
        <v>22001.8</v>
      </c>
      <c r="N94" s="4" t="n">
        <v>92.81149418</v>
      </c>
      <c r="O94" s="9" t="n">
        <f aca="false">$C$5-G94</f>
        <v>11</v>
      </c>
      <c r="P94" s="3" t="n">
        <f aca="false">H94/O94</f>
        <v>2155.08181818182</v>
      </c>
      <c r="Q94" s="2" t="str">
        <f aca="false">IF(G94&lt;2010,"Legacy (pre-2010)",IF(G94&lt;=2017,"Established (2010-2017)","Emerging (2018+)"))</f>
        <v>Established (2010-2017)</v>
      </c>
    </row>
    <row r="95" customFormat="false" ht="15" hidden="false" customHeight="false" outlineLevel="0" collapsed="false">
      <c r="A95" s="2" t="s">
        <v>137</v>
      </c>
      <c r="B95" s="2" t="s">
        <v>21</v>
      </c>
      <c r="C95" s="2" t="s">
        <v>22</v>
      </c>
      <c r="D95" s="2" t="s">
        <v>17</v>
      </c>
      <c r="E95" s="2" t="s">
        <v>18</v>
      </c>
      <c r="F95" s="2" t="s">
        <v>19</v>
      </c>
      <c r="G95" s="2" t="n">
        <v>2015</v>
      </c>
      <c r="H95" s="3" t="n">
        <v>22494.9</v>
      </c>
      <c r="I95" s="3" t="n">
        <v>10833.6</v>
      </c>
      <c r="J95" s="3" t="n">
        <v>11666.6</v>
      </c>
      <c r="K95" s="3" t="n">
        <v>4407.8</v>
      </c>
      <c r="L95" s="4" t="n">
        <v>19.59466368</v>
      </c>
      <c r="M95" s="3" t="n">
        <v>18087.1</v>
      </c>
      <c r="N95" s="4" t="n">
        <v>80.40533632</v>
      </c>
      <c r="O95" s="9" t="n">
        <f aca="false">$C$5-G95</f>
        <v>11</v>
      </c>
      <c r="P95" s="3" t="n">
        <f aca="false">H95/O95</f>
        <v>2044.99090909091</v>
      </c>
      <c r="Q95" s="2" t="str">
        <f aca="false">IF(G95&lt;2010,"Legacy (pre-2010)",IF(G95&lt;=2017,"Established (2010-2017)","Emerging (2018+)"))</f>
        <v>Established (2010-2017)</v>
      </c>
    </row>
    <row r="96" customFormat="false" ht="15" hidden="false" customHeight="false" outlineLevel="0" collapsed="false">
      <c r="A96" s="2" t="s">
        <v>138</v>
      </c>
      <c r="B96" s="2" t="s">
        <v>15</v>
      </c>
      <c r="C96" s="2" t="s">
        <v>22</v>
      </c>
      <c r="D96" s="2" t="s">
        <v>17</v>
      </c>
      <c r="E96" s="2" t="s">
        <v>58</v>
      </c>
      <c r="F96" s="2" t="s">
        <v>49</v>
      </c>
      <c r="G96" s="2" t="n">
        <v>2009</v>
      </c>
      <c r="H96" s="3" t="n">
        <v>22475.8</v>
      </c>
      <c r="I96" s="3" t="n">
        <v>22215.2</v>
      </c>
      <c r="J96" s="3" t="n">
        <v>269.1</v>
      </c>
      <c r="K96" s="3" t="n">
        <v>22142.6</v>
      </c>
      <c r="L96" s="4" t="n">
        <v>98.51751662</v>
      </c>
      <c r="M96" s="3" t="n">
        <v>333.2</v>
      </c>
      <c r="N96" s="4" t="n">
        <v>1.482483382</v>
      </c>
      <c r="O96" s="9" t="n">
        <f aca="false">$C$5-G96</f>
        <v>17</v>
      </c>
      <c r="P96" s="3" t="n">
        <f aca="false">H96/O96</f>
        <v>1322.10588235294</v>
      </c>
      <c r="Q96" s="2" t="str">
        <f aca="false">IF(G96&lt;2010,"Legacy (pre-2010)",IF(G96&lt;=2017,"Established (2010-2017)","Emerging (2018+)"))</f>
        <v>Legacy (pre-2010)</v>
      </c>
    </row>
    <row r="97" customFormat="false" ht="15" hidden="false" customHeight="false" outlineLevel="0" collapsed="false">
      <c r="A97" s="2" t="s">
        <v>139</v>
      </c>
      <c r="B97" s="2" t="s">
        <v>79</v>
      </c>
      <c r="C97" s="2" t="s">
        <v>22</v>
      </c>
      <c r="D97" s="2" t="s">
        <v>17</v>
      </c>
      <c r="E97" s="2" t="s">
        <v>140</v>
      </c>
      <c r="F97" s="2" t="s">
        <v>49</v>
      </c>
      <c r="G97" s="2" t="n">
        <v>1949</v>
      </c>
      <c r="H97" s="3" t="n">
        <v>22236.1</v>
      </c>
      <c r="I97" s="3" t="n">
        <v>287.8</v>
      </c>
      <c r="J97" s="3" t="n">
        <v>21966.6</v>
      </c>
      <c r="K97" s="3" t="n">
        <v>0</v>
      </c>
      <c r="L97" s="4" t="n">
        <v>0</v>
      </c>
      <c r="M97" s="3" t="n">
        <v>22236.1</v>
      </c>
      <c r="N97" s="4" t="n">
        <v>100</v>
      </c>
      <c r="O97" s="9" t="n">
        <f aca="false">$C$5-G97</f>
        <v>77</v>
      </c>
      <c r="P97" s="3" t="n">
        <f aca="false">H97/O97</f>
        <v>288.780519480519</v>
      </c>
      <c r="Q97" s="2" t="str">
        <f aca="false">IF(G97&lt;2010,"Legacy (pre-2010)",IF(G97&lt;=2017,"Established (2010-2017)","Emerging (2018+)"))</f>
        <v>Legacy (pre-2010)</v>
      </c>
    </row>
    <row r="98" customFormat="false" ht="15" hidden="false" customHeight="false" outlineLevel="0" collapsed="false">
      <c r="A98" s="2" t="s">
        <v>141</v>
      </c>
      <c r="B98" s="2" t="s">
        <v>15</v>
      </c>
      <c r="C98" s="2" t="s">
        <v>22</v>
      </c>
      <c r="D98" s="2" t="s">
        <v>25</v>
      </c>
      <c r="E98" s="2" t="s">
        <v>26</v>
      </c>
      <c r="F98" s="2" t="s">
        <v>19</v>
      </c>
      <c r="G98" s="2" t="n">
        <v>2004</v>
      </c>
      <c r="H98" s="3" t="n">
        <v>21937.3</v>
      </c>
      <c r="I98" s="3" t="n">
        <v>8927.4</v>
      </c>
      <c r="J98" s="3" t="n">
        <v>13023.3</v>
      </c>
      <c r="K98" s="3" t="n">
        <v>3007</v>
      </c>
      <c r="L98" s="4" t="n">
        <v>13.70724747</v>
      </c>
      <c r="M98" s="3" t="n">
        <v>18930.3</v>
      </c>
      <c r="N98" s="4" t="n">
        <v>86.29275253</v>
      </c>
      <c r="O98" s="9" t="n">
        <f aca="false">$C$5-G98</f>
        <v>22</v>
      </c>
      <c r="P98" s="3" t="n">
        <f aca="false">H98/O98</f>
        <v>997.15</v>
      </c>
      <c r="Q98" s="2" t="str">
        <f aca="false">IF(G98&lt;2010,"Legacy (pre-2010)",IF(G98&lt;=2017,"Established (2010-2017)","Emerging (2018+)"))</f>
        <v>Legacy (pre-2010)</v>
      </c>
    </row>
    <row r="99" customFormat="false" ht="15" hidden="false" customHeight="false" outlineLevel="0" collapsed="false">
      <c r="A99" s="2" t="s">
        <v>142</v>
      </c>
      <c r="B99" s="2" t="s">
        <v>79</v>
      </c>
      <c r="C99" s="2" t="s">
        <v>22</v>
      </c>
      <c r="D99" s="2" t="s">
        <v>17</v>
      </c>
      <c r="E99" s="2" t="s">
        <v>52</v>
      </c>
      <c r="F99" s="2" t="s">
        <v>49</v>
      </c>
      <c r="G99" s="2" t="n">
        <v>1984</v>
      </c>
      <c r="H99" s="3" t="n">
        <v>21873.8</v>
      </c>
      <c r="I99" s="3" t="n">
        <v>21884.2</v>
      </c>
      <c r="J99" s="3" t="n">
        <v>0</v>
      </c>
      <c r="K99" s="3" t="n">
        <v>21872.4</v>
      </c>
      <c r="L99" s="4" t="n">
        <v>99.99359965</v>
      </c>
      <c r="M99" s="3" t="n">
        <v>1.4</v>
      </c>
      <c r="N99" s="4" t="n">
        <v>0.006400351105</v>
      </c>
      <c r="O99" s="9" t="n">
        <f aca="false">$C$5-G99</f>
        <v>42</v>
      </c>
      <c r="P99" s="3" t="n">
        <f aca="false">H99/O99</f>
        <v>520.804761904762</v>
      </c>
      <c r="Q99" s="2" t="str">
        <f aca="false">IF(G99&lt;2010,"Legacy (pre-2010)",IF(G99&lt;=2017,"Established (2010-2017)","Emerging (2018+)"))</f>
        <v>Legacy (pre-2010)</v>
      </c>
    </row>
    <row r="100" customFormat="false" ht="15" hidden="false" customHeight="false" outlineLevel="0" collapsed="false">
      <c r="A100" s="2" t="s">
        <v>143</v>
      </c>
      <c r="B100" s="2" t="s">
        <v>21</v>
      </c>
      <c r="C100" s="2" t="s">
        <v>144</v>
      </c>
      <c r="D100" s="2" t="s">
        <v>17</v>
      </c>
      <c r="E100" s="2" t="s">
        <v>23</v>
      </c>
      <c r="F100" s="2" t="s">
        <v>19</v>
      </c>
      <c r="G100" s="2" t="n">
        <v>2012</v>
      </c>
      <c r="H100" s="3" t="n">
        <v>21546.2</v>
      </c>
      <c r="I100" s="3" t="n">
        <v>12365.6</v>
      </c>
      <c r="J100" s="3" t="n">
        <v>9186</v>
      </c>
      <c r="K100" s="3" t="n">
        <v>6409.3</v>
      </c>
      <c r="L100" s="4" t="n">
        <v>29.74677669</v>
      </c>
      <c r="M100" s="3" t="n">
        <v>15136.9</v>
      </c>
      <c r="N100" s="4" t="n">
        <v>70.25322331</v>
      </c>
      <c r="O100" s="9" t="n">
        <f aca="false">$C$5-G100</f>
        <v>14</v>
      </c>
      <c r="P100" s="3" t="n">
        <f aca="false">H100/O100</f>
        <v>1539.01428571429</v>
      </c>
      <c r="Q100" s="2" t="str">
        <f aca="false">IF(G100&lt;2010,"Legacy (pre-2010)",IF(G100&lt;=2017,"Established (2010-2017)","Emerging (2018+)"))</f>
        <v>Established (2010-2017)</v>
      </c>
    </row>
    <row r="101" customFormat="false" ht="15" hidden="false" customHeight="false" outlineLevel="0" collapsed="false">
      <c r="A101" s="2" t="s">
        <v>145</v>
      </c>
      <c r="B101" s="2" t="s">
        <v>15</v>
      </c>
      <c r="C101" s="2" t="s">
        <v>22</v>
      </c>
      <c r="D101" s="2" t="s">
        <v>17</v>
      </c>
      <c r="E101" s="2" t="s">
        <v>18</v>
      </c>
      <c r="F101" s="2" t="s">
        <v>49</v>
      </c>
      <c r="G101" s="2" t="n">
        <v>2014</v>
      </c>
      <c r="H101" s="3" t="n">
        <v>21202.3</v>
      </c>
      <c r="I101" s="3" t="n">
        <v>20357.3</v>
      </c>
      <c r="J101" s="3" t="n">
        <v>851.6</v>
      </c>
      <c r="K101" s="3" t="n">
        <v>16646.9</v>
      </c>
      <c r="L101" s="4" t="n">
        <v>78.51459511</v>
      </c>
      <c r="M101" s="3" t="n">
        <v>4555.4</v>
      </c>
      <c r="N101" s="4" t="n">
        <v>21.48540489</v>
      </c>
      <c r="O101" s="9" t="n">
        <f aca="false">$C$5-G101</f>
        <v>12</v>
      </c>
      <c r="P101" s="3" t="n">
        <f aca="false">H101/O101</f>
        <v>1766.85833333333</v>
      </c>
      <c r="Q101" s="2" t="str">
        <f aca="false">IF(G101&lt;2010,"Legacy (pre-2010)",IF(G101&lt;=2017,"Established (2010-2017)","Emerging (2018+)"))</f>
        <v>Established (2010-2017)</v>
      </c>
    </row>
    <row r="102" customFormat="false" ht="15" hidden="false" customHeight="false" outlineLevel="0" collapsed="false">
      <c r="A102" s="2" t="s">
        <v>146</v>
      </c>
      <c r="B102" s="2" t="s">
        <v>79</v>
      </c>
      <c r="C102" s="2" t="s">
        <v>22</v>
      </c>
      <c r="D102" s="2" t="s">
        <v>17</v>
      </c>
      <c r="E102" s="2" t="s">
        <v>23</v>
      </c>
      <c r="F102" s="2" t="s">
        <v>49</v>
      </c>
      <c r="G102" s="2" t="n">
        <v>2007</v>
      </c>
      <c r="H102" s="3" t="n">
        <v>21182.2</v>
      </c>
      <c r="I102" s="3" t="n">
        <v>19519.4</v>
      </c>
      <c r="J102" s="3" t="n">
        <v>1669.7</v>
      </c>
      <c r="K102" s="3" t="n">
        <v>17506.6</v>
      </c>
      <c r="L102" s="4" t="n">
        <v>82.64769476</v>
      </c>
      <c r="M102" s="3" t="n">
        <v>3675.6</v>
      </c>
      <c r="N102" s="4" t="n">
        <v>17.35230524</v>
      </c>
      <c r="O102" s="9" t="n">
        <f aca="false">$C$5-G102</f>
        <v>19</v>
      </c>
      <c r="P102" s="3" t="n">
        <f aca="false">H102/O102</f>
        <v>1114.85263157895</v>
      </c>
      <c r="Q102" s="2" t="str">
        <f aca="false">IF(G102&lt;2010,"Legacy (pre-2010)",IF(G102&lt;=2017,"Established (2010-2017)","Emerging (2018+)"))</f>
        <v>Legacy (pre-2010)</v>
      </c>
    </row>
    <row r="103" customFormat="false" ht="15" hidden="false" customHeight="false" outlineLevel="0" collapsed="false">
      <c r="A103" s="2" t="s">
        <v>147</v>
      </c>
      <c r="B103" s="2" t="s">
        <v>15</v>
      </c>
      <c r="C103" s="2" t="s">
        <v>148</v>
      </c>
      <c r="D103" s="2" t="s">
        <v>17</v>
      </c>
      <c r="E103" s="2" t="s">
        <v>61</v>
      </c>
      <c r="F103" s="2" t="s">
        <v>19</v>
      </c>
      <c r="G103" s="2" t="n">
        <v>2006</v>
      </c>
      <c r="H103" s="3" t="n">
        <v>21003.5</v>
      </c>
      <c r="I103" s="3" t="n">
        <v>20142.3</v>
      </c>
      <c r="J103" s="3" t="n">
        <v>867.4</v>
      </c>
      <c r="K103" s="3" t="n">
        <v>14179.7</v>
      </c>
      <c r="L103" s="4" t="n">
        <v>67.5111291</v>
      </c>
      <c r="M103" s="3" t="n">
        <v>6823.8</v>
      </c>
      <c r="N103" s="4" t="n">
        <v>32.4888709</v>
      </c>
      <c r="O103" s="9" t="n">
        <f aca="false">$C$5-G103</f>
        <v>20</v>
      </c>
      <c r="P103" s="3" t="n">
        <f aca="false">H103/O103</f>
        <v>1050.175</v>
      </c>
      <c r="Q103" s="2" t="str">
        <f aca="false">IF(G103&lt;2010,"Legacy (pre-2010)",IF(G103&lt;=2017,"Established (2010-2017)","Emerging (2018+)"))</f>
        <v>Legacy (pre-2010)</v>
      </c>
    </row>
    <row r="104" customFormat="false" ht="15" hidden="false" customHeight="false" outlineLevel="0" collapsed="false">
      <c r="A104" s="2" t="s">
        <v>149</v>
      </c>
      <c r="B104" s="2" t="s">
        <v>15</v>
      </c>
      <c r="C104" s="2" t="s">
        <v>22</v>
      </c>
      <c r="D104" s="2" t="s">
        <v>17</v>
      </c>
      <c r="E104" s="2" t="s">
        <v>61</v>
      </c>
      <c r="F104" s="2" t="s">
        <v>19</v>
      </c>
      <c r="G104" s="2" t="n">
        <v>2002</v>
      </c>
      <c r="H104" s="3" t="n">
        <v>20670.8</v>
      </c>
      <c r="I104" s="3" t="n">
        <v>5352.4</v>
      </c>
      <c r="J104" s="3" t="n">
        <v>15318.4</v>
      </c>
      <c r="K104" s="3" t="n">
        <v>32.5</v>
      </c>
      <c r="L104" s="4" t="n">
        <v>0.1572266192</v>
      </c>
      <c r="M104" s="3" t="n">
        <v>20638.3</v>
      </c>
      <c r="N104" s="4" t="n">
        <v>99.84277338</v>
      </c>
      <c r="O104" s="9" t="n">
        <f aca="false">$C$5-G104</f>
        <v>24</v>
      </c>
      <c r="P104" s="3" t="n">
        <f aca="false">H104/O104</f>
        <v>861.283333333333</v>
      </c>
      <c r="Q104" s="2" t="str">
        <f aca="false">IF(G104&lt;2010,"Legacy (pre-2010)",IF(G104&lt;=2017,"Established (2010-2017)","Emerging (2018+)"))</f>
        <v>Legacy (pre-2010)</v>
      </c>
    </row>
    <row r="105" customFormat="false" ht="15" hidden="false" customHeight="false" outlineLevel="0" collapsed="false">
      <c r="A105" s="2" t="s">
        <v>150</v>
      </c>
      <c r="B105" s="2" t="s">
        <v>15</v>
      </c>
      <c r="C105" s="2" t="s">
        <v>22</v>
      </c>
      <c r="D105" s="2" t="s">
        <v>17</v>
      </c>
      <c r="E105" s="2" t="s">
        <v>18</v>
      </c>
      <c r="F105" s="2" t="s">
        <v>19</v>
      </c>
      <c r="G105" s="2" t="n">
        <v>1993</v>
      </c>
      <c r="H105" s="3" t="n">
        <v>20644.8</v>
      </c>
      <c r="I105" s="3" t="n">
        <v>7762</v>
      </c>
      <c r="J105" s="3" t="n">
        <v>12890.7</v>
      </c>
      <c r="K105" s="3" t="n">
        <v>1744.2</v>
      </c>
      <c r="L105" s="4" t="n">
        <v>8.448616601</v>
      </c>
      <c r="M105" s="3" t="n">
        <v>18900.6</v>
      </c>
      <c r="N105" s="4" t="n">
        <v>91.5513834</v>
      </c>
      <c r="O105" s="9" t="n">
        <f aca="false">$C$5-G105</f>
        <v>33</v>
      </c>
      <c r="P105" s="3" t="n">
        <f aca="false">H105/O105</f>
        <v>625.6</v>
      </c>
      <c r="Q105" s="2" t="str">
        <f aca="false">IF(G105&lt;2010,"Legacy (pre-2010)",IF(G105&lt;=2017,"Established (2010-2017)","Emerging (2018+)"))</f>
        <v>Legacy (pre-2010)</v>
      </c>
    </row>
    <row r="106" customFormat="false" ht="15" hidden="false" customHeight="false" outlineLevel="0" collapsed="false">
      <c r="A106" s="2" t="s">
        <v>151</v>
      </c>
      <c r="B106" s="2" t="s">
        <v>15</v>
      </c>
      <c r="C106" s="2" t="s">
        <v>22</v>
      </c>
      <c r="D106" s="2" t="s">
        <v>25</v>
      </c>
      <c r="E106" s="2" t="s">
        <v>152</v>
      </c>
      <c r="F106" s="2" t="s">
        <v>19</v>
      </c>
      <c r="G106" s="2" t="n">
        <v>2011</v>
      </c>
      <c r="H106" s="3" t="n">
        <v>20549.2</v>
      </c>
      <c r="I106" s="3" t="n">
        <v>14249.8</v>
      </c>
      <c r="J106" s="3" t="n">
        <v>6311</v>
      </c>
      <c r="K106" s="3" t="n">
        <v>8225.7</v>
      </c>
      <c r="L106" s="4" t="n">
        <v>40.02929554</v>
      </c>
      <c r="M106" s="3" t="n">
        <v>12323.5</v>
      </c>
      <c r="N106" s="4" t="n">
        <v>59.97070446</v>
      </c>
      <c r="O106" s="9" t="n">
        <f aca="false">$C$5-G106</f>
        <v>15</v>
      </c>
      <c r="P106" s="3" t="n">
        <f aca="false">H106/O106</f>
        <v>1369.94666666667</v>
      </c>
      <c r="Q106" s="2" t="str">
        <f aca="false">IF(G106&lt;2010,"Legacy (pre-2010)",IF(G106&lt;=2017,"Established (2010-2017)","Emerging (2018+)"))</f>
        <v>Established (2010-2017)</v>
      </c>
    </row>
    <row r="107" customFormat="false" ht="15" hidden="false" customHeight="false" outlineLevel="0" collapsed="false">
      <c r="A107" s="2" t="s">
        <v>153</v>
      </c>
      <c r="B107" s="2" t="s">
        <v>15</v>
      </c>
      <c r="C107" s="2" t="s">
        <v>22</v>
      </c>
      <c r="D107" s="2" t="s">
        <v>17</v>
      </c>
      <c r="E107" s="2" t="s">
        <v>18</v>
      </c>
      <c r="F107" s="2" t="s">
        <v>19</v>
      </c>
      <c r="G107" s="2" t="n">
        <v>2003</v>
      </c>
      <c r="H107" s="3" t="n">
        <v>20444.6</v>
      </c>
      <c r="I107" s="3" t="n">
        <v>14112.2</v>
      </c>
      <c r="J107" s="3" t="n">
        <v>6342</v>
      </c>
      <c r="K107" s="3" t="n">
        <v>8484.4</v>
      </c>
      <c r="L107" s="4" t="n">
        <v>41.49946685</v>
      </c>
      <c r="M107" s="3" t="n">
        <v>11960.2</v>
      </c>
      <c r="N107" s="4" t="n">
        <v>58.50053315</v>
      </c>
      <c r="O107" s="9" t="n">
        <f aca="false">$C$5-G107</f>
        <v>23</v>
      </c>
      <c r="P107" s="3" t="n">
        <f aca="false">H107/O107</f>
        <v>888.895652173913</v>
      </c>
      <c r="Q107" s="2" t="str">
        <f aca="false">IF(G107&lt;2010,"Legacy (pre-2010)",IF(G107&lt;=2017,"Established (2010-2017)","Emerging (2018+)"))</f>
        <v>Legacy (pre-2010)</v>
      </c>
    </row>
    <row r="108" customFormat="false" ht="15" hidden="false" customHeight="false" outlineLevel="0" collapsed="false">
      <c r="A108" s="2" t="s">
        <v>154</v>
      </c>
      <c r="B108" s="2" t="s">
        <v>15</v>
      </c>
      <c r="C108" s="2" t="s">
        <v>90</v>
      </c>
      <c r="D108" s="2" t="s">
        <v>25</v>
      </c>
      <c r="E108" s="2" t="s">
        <v>91</v>
      </c>
      <c r="F108" s="2" t="s">
        <v>19</v>
      </c>
      <c r="G108" s="2" t="n">
        <v>2018</v>
      </c>
      <c r="H108" s="3" t="n">
        <v>20300.7</v>
      </c>
      <c r="I108" s="3" t="n">
        <v>13993.4</v>
      </c>
      <c r="J108" s="3" t="n">
        <v>6316.3</v>
      </c>
      <c r="K108" s="3" t="n">
        <v>7574.2</v>
      </c>
      <c r="L108" s="4" t="n">
        <v>37.3100435</v>
      </c>
      <c r="M108" s="3" t="n">
        <v>12726.5</v>
      </c>
      <c r="N108" s="4" t="n">
        <v>62.6899565</v>
      </c>
      <c r="O108" s="9" t="n">
        <f aca="false">$C$5-G108</f>
        <v>8</v>
      </c>
      <c r="P108" s="3" t="n">
        <f aca="false">H108/O108</f>
        <v>2537.5875</v>
      </c>
      <c r="Q108" s="2" t="str">
        <f aca="false">IF(G108&lt;2010,"Legacy (pre-2010)",IF(G108&lt;=2017,"Established (2010-2017)","Emerging (2018+)"))</f>
        <v>Emerging (2018+)</v>
      </c>
    </row>
    <row r="109" customFormat="false" ht="15" hidden="false" customHeight="false" outlineLevel="0" collapsed="false">
      <c r="A109" s="2" t="s">
        <v>155</v>
      </c>
      <c r="B109" s="2" t="s">
        <v>15</v>
      </c>
      <c r="C109" s="2" t="s">
        <v>22</v>
      </c>
      <c r="D109" s="2" t="s">
        <v>17</v>
      </c>
      <c r="E109" s="2" t="s">
        <v>18</v>
      </c>
      <c r="F109" s="2" t="s">
        <v>19</v>
      </c>
      <c r="G109" s="2" t="n">
        <v>2015</v>
      </c>
      <c r="H109" s="3" t="n">
        <v>20138.1</v>
      </c>
      <c r="I109" s="3" t="n">
        <v>15305.8</v>
      </c>
      <c r="J109" s="3" t="n">
        <v>4841.7</v>
      </c>
      <c r="K109" s="3" t="n">
        <v>13558.6</v>
      </c>
      <c r="L109" s="4" t="n">
        <v>67.32809947</v>
      </c>
      <c r="M109" s="3" t="n">
        <v>6579.5</v>
      </c>
      <c r="N109" s="4" t="n">
        <v>32.67190053</v>
      </c>
      <c r="O109" s="9" t="n">
        <f aca="false">$C$5-G109</f>
        <v>11</v>
      </c>
      <c r="P109" s="3" t="n">
        <f aca="false">H109/O109</f>
        <v>1830.73636363636</v>
      </c>
      <c r="Q109" s="2" t="str">
        <f aca="false">IF(G109&lt;2010,"Legacy (pre-2010)",IF(G109&lt;=2017,"Established (2010-2017)","Emerging (2018+)"))</f>
        <v>Established (2010-2017)</v>
      </c>
    </row>
    <row r="110" customFormat="false" ht="15" hidden="false" customHeight="false" outlineLevel="0" collapsed="false">
      <c r="A110" s="2" t="s">
        <v>156</v>
      </c>
      <c r="B110" s="2" t="s">
        <v>15</v>
      </c>
      <c r="C110" s="2" t="s">
        <v>22</v>
      </c>
      <c r="D110" s="2" t="s">
        <v>17</v>
      </c>
      <c r="E110" s="2" t="s">
        <v>18</v>
      </c>
      <c r="F110" s="2" t="s">
        <v>19</v>
      </c>
      <c r="G110" s="2" t="n">
        <v>2007</v>
      </c>
      <c r="H110" s="3" t="n">
        <v>20091.1</v>
      </c>
      <c r="I110" s="3" t="n">
        <v>18765.5</v>
      </c>
      <c r="J110" s="3" t="n">
        <v>1328</v>
      </c>
      <c r="K110" s="3" t="n">
        <v>12865.2</v>
      </c>
      <c r="L110" s="4" t="n">
        <v>64.03432366</v>
      </c>
      <c r="M110" s="3" t="n">
        <v>7225.9</v>
      </c>
      <c r="N110" s="4" t="n">
        <v>35.96567634</v>
      </c>
      <c r="O110" s="9" t="n">
        <f aca="false">$C$5-G110</f>
        <v>19</v>
      </c>
      <c r="P110" s="3" t="n">
        <f aca="false">H110/O110</f>
        <v>1057.42631578947</v>
      </c>
      <c r="Q110" s="2" t="str">
        <f aca="false">IF(G110&lt;2010,"Legacy (pre-2010)",IF(G110&lt;=2017,"Established (2010-2017)","Emerging (2018+)"))</f>
        <v>Legacy (pre-2010)</v>
      </c>
    </row>
    <row r="111" customFormat="false" ht="15" hidden="false" customHeight="false" outlineLevel="0" collapsed="false">
      <c r="A111" s="2" t="s">
        <v>157</v>
      </c>
      <c r="B111" s="2" t="s">
        <v>15</v>
      </c>
      <c r="C111" s="2" t="s">
        <v>22</v>
      </c>
      <c r="D111" s="2" t="s">
        <v>17</v>
      </c>
      <c r="E111" s="2" t="s">
        <v>18</v>
      </c>
      <c r="F111" s="2" t="s">
        <v>19</v>
      </c>
      <c r="G111" s="2" t="n">
        <v>2015</v>
      </c>
      <c r="H111" s="3" t="n">
        <v>19977.5</v>
      </c>
      <c r="I111" s="3" t="n">
        <v>9365.1</v>
      </c>
      <c r="J111" s="3" t="n">
        <v>10617.1</v>
      </c>
      <c r="K111" s="3" t="n">
        <v>5320.2</v>
      </c>
      <c r="L111" s="4" t="n">
        <v>26.63095983</v>
      </c>
      <c r="M111" s="3" t="n">
        <v>14657.3</v>
      </c>
      <c r="N111" s="4" t="n">
        <v>73.36904017</v>
      </c>
      <c r="O111" s="9" t="n">
        <f aca="false">$C$5-G111</f>
        <v>11</v>
      </c>
      <c r="P111" s="3" t="n">
        <f aca="false">H111/O111</f>
        <v>1816.13636363636</v>
      </c>
      <c r="Q111" s="2" t="str">
        <f aca="false">IF(G111&lt;2010,"Legacy (pre-2010)",IF(G111&lt;=2017,"Established (2010-2017)","Emerging (2018+)"))</f>
        <v>Established (2010-2017)</v>
      </c>
    </row>
    <row r="112" customFormat="false" ht="15" hidden="false" customHeight="false" outlineLevel="0" collapsed="false">
      <c r="A112" s="2" t="s">
        <v>158</v>
      </c>
      <c r="B112" s="2" t="s">
        <v>15</v>
      </c>
      <c r="C112" s="2" t="s">
        <v>22</v>
      </c>
      <c r="D112" s="2" t="s">
        <v>17</v>
      </c>
      <c r="E112" s="2" t="s">
        <v>18</v>
      </c>
      <c r="F112" s="2" t="s">
        <v>19</v>
      </c>
      <c r="G112" s="2" t="n">
        <v>2017</v>
      </c>
      <c r="H112" s="3" t="n">
        <v>19830.5</v>
      </c>
      <c r="I112" s="3" t="n">
        <v>12351.9</v>
      </c>
      <c r="J112" s="3" t="n">
        <v>7494</v>
      </c>
      <c r="K112" s="3" t="n">
        <v>8302.6</v>
      </c>
      <c r="L112" s="4" t="n">
        <v>41.86782986</v>
      </c>
      <c r="M112" s="3" t="n">
        <v>11527.9</v>
      </c>
      <c r="N112" s="4" t="n">
        <v>58.13217014</v>
      </c>
      <c r="O112" s="9" t="n">
        <f aca="false">$C$5-G112</f>
        <v>9</v>
      </c>
      <c r="P112" s="3" t="n">
        <f aca="false">H112/O112</f>
        <v>2203.38888888889</v>
      </c>
      <c r="Q112" s="2" t="str">
        <f aca="false">IF(G112&lt;2010,"Legacy (pre-2010)",IF(G112&lt;=2017,"Established (2010-2017)","Emerging (2018+)"))</f>
        <v>Established (2010-2017)</v>
      </c>
    </row>
    <row r="113" customFormat="false" ht="15" hidden="false" customHeight="false" outlineLevel="0" collapsed="false">
      <c r="A113" s="2" t="s">
        <v>159</v>
      </c>
      <c r="B113" s="2" t="s">
        <v>15</v>
      </c>
      <c r="C113" s="2" t="s">
        <v>22</v>
      </c>
      <c r="D113" s="2" t="s">
        <v>17</v>
      </c>
      <c r="E113" s="2" t="s">
        <v>99</v>
      </c>
      <c r="F113" s="2" t="s">
        <v>19</v>
      </c>
      <c r="G113" s="2" t="n">
        <v>2019</v>
      </c>
      <c r="H113" s="3" t="n">
        <v>19727.2</v>
      </c>
      <c r="I113" s="3" t="n">
        <v>19690.8</v>
      </c>
      <c r="J113" s="3" t="n">
        <v>47.3</v>
      </c>
      <c r="K113" s="3" t="n">
        <v>15838.7</v>
      </c>
      <c r="L113" s="4" t="n">
        <v>80.28863701</v>
      </c>
      <c r="M113" s="3" t="n">
        <v>3888.5</v>
      </c>
      <c r="N113" s="4" t="n">
        <v>19.71136299</v>
      </c>
      <c r="O113" s="9" t="n">
        <f aca="false">$C$5-G113</f>
        <v>7</v>
      </c>
      <c r="P113" s="3" t="n">
        <f aca="false">H113/O113</f>
        <v>2818.17142857143</v>
      </c>
      <c r="Q113" s="2" t="str">
        <f aca="false">IF(G113&lt;2010,"Legacy (pre-2010)",IF(G113&lt;=2017,"Established (2010-2017)","Emerging (2018+)"))</f>
        <v>Emerging (2018+)</v>
      </c>
    </row>
    <row r="114" customFormat="false" ht="15" hidden="false" customHeight="false" outlineLevel="0" collapsed="false">
      <c r="A114" s="2" t="s">
        <v>160</v>
      </c>
      <c r="B114" s="2" t="s">
        <v>15</v>
      </c>
      <c r="C114" s="2" t="s">
        <v>161</v>
      </c>
      <c r="D114" s="2" t="s">
        <v>17</v>
      </c>
      <c r="E114" s="2" t="s">
        <v>61</v>
      </c>
      <c r="F114" s="2" t="s">
        <v>19</v>
      </c>
      <c r="G114" s="2" t="n">
        <v>2013</v>
      </c>
      <c r="H114" s="3" t="n">
        <v>19707.8</v>
      </c>
      <c r="I114" s="3" t="n">
        <v>17829.8</v>
      </c>
      <c r="J114" s="3" t="n">
        <v>1883.3</v>
      </c>
      <c r="K114" s="3" t="n">
        <v>250.7</v>
      </c>
      <c r="L114" s="4" t="n">
        <v>1.272085164</v>
      </c>
      <c r="M114" s="3" t="n">
        <v>19457.1</v>
      </c>
      <c r="N114" s="4" t="n">
        <v>98.72791484</v>
      </c>
      <c r="O114" s="9" t="n">
        <f aca="false">$C$5-G114</f>
        <v>13</v>
      </c>
      <c r="P114" s="3" t="n">
        <f aca="false">H114/O114</f>
        <v>1515.98461538462</v>
      </c>
      <c r="Q114" s="2" t="str">
        <f aca="false">IF(G114&lt;2010,"Legacy (pre-2010)",IF(G114&lt;=2017,"Established (2010-2017)","Emerging (2018+)"))</f>
        <v>Established (2010-2017)</v>
      </c>
    </row>
    <row r="115" customFormat="false" ht="15" hidden="false" customHeight="false" outlineLevel="0" collapsed="false">
      <c r="A115" s="2" t="s">
        <v>162</v>
      </c>
      <c r="B115" s="2" t="s">
        <v>15</v>
      </c>
      <c r="C115" s="2" t="s">
        <v>163</v>
      </c>
      <c r="D115" s="2" t="s">
        <v>25</v>
      </c>
      <c r="E115" s="2" t="s">
        <v>26</v>
      </c>
      <c r="F115" s="2" t="s">
        <v>19</v>
      </c>
      <c r="G115" s="2" t="n">
        <v>2014</v>
      </c>
      <c r="H115" s="3" t="n">
        <v>19528.3</v>
      </c>
      <c r="I115" s="3" t="n">
        <v>7512.9</v>
      </c>
      <c r="J115" s="3" t="n">
        <v>12015.4</v>
      </c>
      <c r="K115" s="3" t="n">
        <v>2397.8</v>
      </c>
      <c r="L115" s="4" t="n">
        <v>12.27859056</v>
      </c>
      <c r="M115" s="3" t="n">
        <v>17130.5</v>
      </c>
      <c r="N115" s="4" t="n">
        <v>87.72140944</v>
      </c>
      <c r="O115" s="9" t="n">
        <f aca="false">$C$5-G115</f>
        <v>12</v>
      </c>
      <c r="P115" s="3" t="n">
        <f aca="false">H115/O115</f>
        <v>1627.35833333333</v>
      </c>
      <c r="Q115" s="2" t="str">
        <f aca="false">IF(G115&lt;2010,"Legacy (pre-2010)",IF(G115&lt;=2017,"Established (2010-2017)","Emerging (2018+)"))</f>
        <v>Established (2010-2017)</v>
      </c>
    </row>
    <row r="116" customFormat="false" ht="15" hidden="false" customHeight="false" outlineLevel="0" collapsed="false">
      <c r="A116" s="2" t="s">
        <v>164</v>
      </c>
      <c r="B116" s="2" t="s">
        <v>15</v>
      </c>
      <c r="C116" s="2" t="s">
        <v>22</v>
      </c>
      <c r="D116" s="2" t="s">
        <v>17</v>
      </c>
      <c r="E116" s="2" t="s">
        <v>58</v>
      </c>
      <c r="F116" s="2" t="s">
        <v>49</v>
      </c>
      <c r="G116" s="2" t="n">
        <v>2011</v>
      </c>
      <c r="H116" s="3" t="n">
        <v>19440.5</v>
      </c>
      <c r="I116" s="3" t="n">
        <v>19435.6</v>
      </c>
      <c r="J116" s="3" t="n">
        <v>14.3</v>
      </c>
      <c r="K116" s="3" t="n">
        <v>18793.5</v>
      </c>
      <c r="L116" s="4" t="n">
        <v>96.6718963</v>
      </c>
      <c r="M116" s="3" t="n">
        <v>647</v>
      </c>
      <c r="N116" s="4" t="n">
        <v>3.328103701</v>
      </c>
      <c r="O116" s="9" t="n">
        <f aca="false">$C$5-G116</f>
        <v>15</v>
      </c>
      <c r="P116" s="3" t="n">
        <f aca="false">H116/O116</f>
        <v>1296.03333333333</v>
      </c>
      <c r="Q116" s="2" t="str">
        <f aca="false">IF(G116&lt;2010,"Legacy (pre-2010)",IF(G116&lt;=2017,"Established (2010-2017)","Emerging (2018+)"))</f>
        <v>Established (2010-2017)</v>
      </c>
    </row>
    <row r="117" customFormat="false" ht="15" hidden="false" customHeight="false" outlineLevel="0" collapsed="false">
      <c r="A117" s="2" t="s">
        <v>165</v>
      </c>
      <c r="B117" s="2" t="s">
        <v>15</v>
      </c>
      <c r="C117" s="2" t="s">
        <v>22</v>
      </c>
      <c r="D117" s="2" t="s">
        <v>17</v>
      </c>
      <c r="E117" s="2" t="s">
        <v>18</v>
      </c>
      <c r="F117" s="2" t="s">
        <v>19</v>
      </c>
      <c r="G117" s="2" t="n">
        <v>2008</v>
      </c>
      <c r="H117" s="3" t="n">
        <v>19383.5</v>
      </c>
      <c r="I117" s="3" t="n">
        <v>2977.3</v>
      </c>
      <c r="J117" s="3" t="n">
        <v>16406.1</v>
      </c>
      <c r="K117" s="3" t="n">
        <v>809.7</v>
      </c>
      <c r="L117" s="4" t="n">
        <v>4.177264168</v>
      </c>
      <c r="M117" s="3" t="n">
        <v>18573.8</v>
      </c>
      <c r="N117" s="4" t="n">
        <v>95.82273583</v>
      </c>
      <c r="O117" s="9" t="n">
        <f aca="false">$C$5-G117</f>
        <v>18</v>
      </c>
      <c r="P117" s="3" t="n">
        <f aca="false">H117/O117</f>
        <v>1076.86111111111</v>
      </c>
      <c r="Q117" s="2" t="str">
        <f aca="false">IF(G117&lt;2010,"Legacy (pre-2010)",IF(G117&lt;=2017,"Established (2010-2017)","Emerging (2018+)"))</f>
        <v>Legacy (pre-2010)</v>
      </c>
    </row>
    <row r="118" customFormat="false" ht="15" hidden="false" customHeight="false" outlineLevel="0" collapsed="false">
      <c r="A118" s="2" t="s">
        <v>166</v>
      </c>
      <c r="B118" s="2" t="s">
        <v>15</v>
      </c>
      <c r="C118" s="2" t="s">
        <v>167</v>
      </c>
      <c r="D118" s="2" t="s">
        <v>168</v>
      </c>
      <c r="E118" s="2" t="s">
        <v>169</v>
      </c>
      <c r="F118" s="2" t="s">
        <v>49</v>
      </c>
      <c r="G118" s="2" t="n">
        <v>2008</v>
      </c>
      <c r="H118" s="3" t="n">
        <v>19231.7</v>
      </c>
      <c r="I118" s="3" t="n">
        <v>15881.4</v>
      </c>
      <c r="J118" s="3" t="n">
        <v>3360.5</v>
      </c>
      <c r="K118" s="3" t="n">
        <v>15399.4</v>
      </c>
      <c r="L118" s="4" t="n">
        <v>80.07300447</v>
      </c>
      <c r="M118" s="3" t="n">
        <v>3832.3</v>
      </c>
      <c r="N118" s="4" t="n">
        <v>19.92699553</v>
      </c>
      <c r="O118" s="9" t="n">
        <f aca="false">$C$5-G118</f>
        <v>18</v>
      </c>
      <c r="P118" s="3" t="n">
        <f aca="false">H118/O118</f>
        <v>1068.42777777778</v>
      </c>
      <c r="Q118" s="2" t="str">
        <f aca="false">IF(G118&lt;2010,"Legacy (pre-2010)",IF(G118&lt;=2017,"Established (2010-2017)","Emerging (2018+)"))</f>
        <v>Legacy (pre-2010)</v>
      </c>
    </row>
    <row r="119" customFormat="false" ht="15" hidden="false" customHeight="false" outlineLevel="0" collapsed="false">
      <c r="A119" s="2" t="s">
        <v>170</v>
      </c>
      <c r="B119" s="2" t="s">
        <v>15</v>
      </c>
      <c r="C119" s="2" t="s">
        <v>22</v>
      </c>
      <c r="D119" s="2" t="s">
        <v>17</v>
      </c>
      <c r="E119" s="2" t="s">
        <v>99</v>
      </c>
      <c r="F119" s="2" t="s">
        <v>19</v>
      </c>
      <c r="G119" s="2" t="n">
        <v>2014</v>
      </c>
      <c r="H119" s="3" t="n">
        <v>19101.6</v>
      </c>
      <c r="I119" s="3" t="n">
        <v>17465.4</v>
      </c>
      <c r="J119" s="3" t="n">
        <v>1647.2</v>
      </c>
      <c r="K119" s="3" t="n">
        <v>16648</v>
      </c>
      <c r="L119" s="4" t="n">
        <v>87.15500272</v>
      </c>
      <c r="M119" s="3" t="n">
        <v>2453.6</v>
      </c>
      <c r="N119" s="4" t="n">
        <v>12.84499728</v>
      </c>
      <c r="O119" s="9" t="n">
        <f aca="false">$C$5-G119</f>
        <v>12</v>
      </c>
      <c r="P119" s="3" t="n">
        <f aca="false">H119/O119</f>
        <v>1591.8</v>
      </c>
      <c r="Q119" s="2" t="str">
        <f aca="false">IF(G119&lt;2010,"Legacy (pre-2010)",IF(G119&lt;=2017,"Established (2010-2017)","Emerging (2018+)"))</f>
        <v>Established (2010-2017)</v>
      </c>
    </row>
    <row r="120" customFormat="false" ht="15" hidden="false" customHeight="false" outlineLevel="0" collapsed="false">
      <c r="A120" s="2" t="s">
        <v>171</v>
      </c>
      <c r="B120" s="2" t="s">
        <v>15</v>
      </c>
      <c r="C120" s="2" t="s">
        <v>34</v>
      </c>
      <c r="D120" s="2" t="s">
        <v>17</v>
      </c>
      <c r="E120" s="2" t="s">
        <v>52</v>
      </c>
      <c r="F120" s="2" t="s">
        <v>19</v>
      </c>
      <c r="G120" s="2" t="n">
        <v>1969</v>
      </c>
      <c r="H120" s="3" t="n">
        <v>19090.4</v>
      </c>
      <c r="I120" s="3" t="n">
        <v>17435.4</v>
      </c>
      <c r="J120" s="3" t="n">
        <v>1662.4</v>
      </c>
      <c r="K120" s="3" t="n">
        <v>12211.1</v>
      </c>
      <c r="L120" s="4" t="n">
        <v>63.96461048</v>
      </c>
      <c r="M120" s="3" t="n">
        <v>6879.3</v>
      </c>
      <c r="N120" s="4" t="n">
        <v>36.03538952</v>
      </c>
      <c r="O120" s="9" t="n">
        <f aca="false">$C$5-G120</f>
        <v>57</v>
      </c>
      <c r="P120" s="3" t="n">
        <f aca="false">H120/O120</f>
        <v>334.919298245614</v>
      </c>
      <c r="Q120" s="2" t="str">
        <f aca="false">IF(G120&lt;2010,"Legacy (pre-2010)",IF(G120&lt;=2017,"Established (2010-2017)","Emerging (2018+)"))</f>
        <v>Legacy (pre-2010)</v>
      </c>
    </row>
    <row r="121" customFormat="false" ht="15" hidden="false" customHeight="false" outlineLevel="0" collapsed="false">
      <c r="A121" s="2" t="s">
        <v>172</v>
      </c>
      <c r="B121" s="2" t="s">
        <v>15</v>
      </c>
      <c r="C121" s="2" t="s">
        <v>43</v>
      </c>
      <c r="D121" s="2" t="s">
        <v>25</v>
      </c>
      <c r="E121" s="2" t="s">
        <v>83</v>
      </c>
      <c r="F121" s="2" t="s">
        <v>19</v>
      </c>
      <c r="G121" s="2" t="n">
        <v>2016</v>
      </c>
      <c r="H121" s="3" t="n">
        <v>18912.7</v>
      </c>
      <c r="I121" s="3" t="n">
        <v>8490.9</v>
      </c>
      <c r="J121" s="3" t="n">
        <v>10429.4</v>
      </c>
      <c r="K121" s="3" t="n">
        <v>5716.7</v>
      </c>
      <c r="L121" s="4" t="n">
        <v>30.22677883</v>
      </c>
      <c r="M121" s="3" t="n">
        <v>13196</v>
      </c>
      <c r="N121" s="4" t="n">
        <v>69.77322117</v>
      </c>
      <c r="O121" s="9" t="n">
        <f aca="false">$C$5-G121</f>
        <v>10</v>
      </c>
      <c r="P121" s="3" t="n">
        <f aca="false">H121/O121</f>
        <v>1891.27</v>
      </c>
      <c r="Q121" s="2" t="str">
        <f aca="false">IF(G121&lt;2010,"Legacy (pre-2010)",IF(G121&lt;=2017,"Established (2010-2017)","Emerging (2018+)"))</f>
        <v>Established (2010-2017)</v>
      </c>
    </row>
    <row r="122" customFormat="false" ht="15" hidden="false" customHeight="false" outlineLevel="0" collapsed="false">
      <c r="A122" s="2" t="s">
        <v>173</v>
      </c>
      <c r="B122" s="2" t="s">
        <v>15</v>
      </c>
      <c r="C122" s="2" t="s">
        <v>22</v>
      </c>
      <c r="D122" s="2" t="s">
        <v>17</v>
      </c>
      <c r="E122" s="2" t="s">
        <v>18</v>
      </c>
      <c r="F122" s="2" t="s">
        <v>19</v>
      </c>
      <c r="G122" s="2" t="n">
        <v>2016</v>
      </c>
      <c r="H122" s="3" t="n">
        <v>18889.6</v>
      </c>
      <c r="I122" s="3" t="n">
        <v>11762.8</v>
      </c>
      <c r="J122" s="3" t="n">
        <v>7126.8</v>
      </c>
      <c r="K122" s="3" t="n">
        <v>5822.1</v>
      </c>
      <c r="L122" s="4" t="n">
        <v>30.82172201</v>
      </c>
      <c r="M122" s="3" t="n">
        <v>13067.5</v>
      </c>
      <c r="N122" s="4" t="n">
        <v>69.17827799</v>
      </c>
      <c r="O122" s="9" t="n">
        <f aca="false">$C$5-G122</f>
        <v>10</v>
      </c>
      <c r="P122" s="3" t="n">
        <f aca="false">H122/O122</f>
        <v>1888.96</v>
      </c>
      <c r="Q122" s="2" t="str">
        <f aca="false">IF(G122&lt;2010,"Legacy (pre-2010)",IF(G122&lt;=2017,"Established (2010-2017)","Emerging (2018+)"))</f>
        <v>Established (2010-2017)</v>
      </c>
    </row>
    <row r="123" customFormat="false" ht="15" hidden="false" customHeight="false" outlineLevel="0" collapsed="false">
      <c r="A123" s="2" t="s">
        <v>174</v>
      </c>
      <c r="B123" s="2" t="s">
        <v>21</v>
      </c>
      <c r="C123" s="2" t="s">
        <v>16</v>
      </c>
      <c r="D123" s="2" t="s">
        <v>17</v>
      </c>
      <c r="E123" s="2" t="s">
        <v>23</v>
      </c>
      <c r="F123" s="2" t="s">
        <v>19</v>
      </c>
      <c r="G123" s="2" t="n">
        <v>2017</v>
      </c>
      <c r="H123" s="3" t="n">
        <v>18707.3</v>
      </c>
      <c r="I123" s="3" t="n">
        <v>16893.7</v>
      </c>
      <c r="J123" s="3" t="n">
        <v>1823.3</v>
      </c>
      <c r="K123" s="3" t="n">
        <v>15280.9</v>
      </c>
      <c r="L123" s="4" t="n">
        <v>81.68415538</v>
      </c>
      <c r="M123" s="3" t="n">
        <v>3426.4</v>
      </c>
      <c r="N123" s="4" t="n">
        <v>18.31584462</v>
      </c>
      <c r="O123" s="9" t="n">
        <f aca="false">$C$5-G123</f>
        <v>9</v>
      </c>
      <c r="P123" s="3" t="n">
        <f aca="false">H123/O123</f>
        <v>2078.58888888889</v>
      </c>
      <c r="Q123" s="2" t="str">
        <f aca="false">IF(G123&lt;2010,"Legacy (pre-2010)",IF(G123&lt;=2017,"Established (2010-2017)","Emerging (2018+)"))</f>
        <v>Established (2010-2017)</v>
      </c>
    </row>
    <row r="124" customFormat="false" ht="15" hidden="false" customHeight="false" outlineLevel="0" collapsed="false">
      <c r="A124" s="2" t="s">
        <v>175</v>
      </c>
      <c r="B124" s="2" t="s">
        <v>15</v>
      </c>
      <c r="C124" s="2" t="s">
        <v>22</v>
      </c>
      <c r="D124" s="2" t="s">
        <v>17</v>
      </c>
      <c r="E124" s="2" t="s">
        <v>18</v>
      </c>
      <c r="F124" s="2" t="s">
        <v>19</v>
      </c>
      <c r="G124" s="2" t="n">
        <v>2014</v>
      </c>
      <c r="H124" s="3" t="n">
        <v>18649.5</v>
      </c>
      <c r="I124" s="3" t="n">
        <v>17855.2</v>
      </c>
      <c r="J124" s="3" t="n">
        <v>801</v>
      </c>
      <c r="K124" s="3" t="n">
        <v>9452.7</v>
      </c>
      <c r="L124" s="4" t="n">
        <v>50.68607737</v>
      </c>
      <c r="M124" s="3" t="n">
        <v>9196.8</v>
      </c>
      <c r="N124" s="4" t="n">
        <v>49.31392263</v>
      </c>
      <c r="O124" s="9" t="n">
        <f aca="false">$C$5-G124</f>
        <v>12</v>
      </c>
      <c r="P124" s="3" t="n">
        <f aca="false">H124/O124</f>
        <v>1554.125</v>
      </c>
      <c r="Q124" s="2" t="str">
        <f aca="false">IF(G124&lt;2010,"Legacy (pre-2010)",IF(G124&lt;=2017,"Established (2010-2017)","Emerging (2018+)"))</f>
        <v>Established (2010-2017)</v>
      </c>
    </row>
    <row r="125" customFormat="false" ht="15" hidden="false" customHeight="false" outlineLevel="0" collapsed="false">
      <c r="A125" s="2" t="s">
        <v>176</v>
      </c>
      <c r="B125" s="2" t="s">
        <v>15</v>
      </c>
      <c r="C125" s="2" t="s">
        <v>22</v>
      </c>
      <c r="D125" s="2" t="s">
        <v>17</v>
      </c>
      <c r="E125" s="2" t="s">
        <v>52</v>
      </c>
      <c r="F125" s="2" t="s">
        <v>49</v>
      </c>
      <c r="G125" s="2" t="n">
        <v>1983</v>
      </c>
      <c r="H125" s="3" t="n">
        <v>18627</v>
      </c>
      <c r="I125" s="3" t="n">
        <v>18557</v>
      </c>
      <c r="J125" s="3" t="n">
        <v>77.9</v>
      </c>
      <c r="K125" s="3" t="n">
        <v>18283.1</v>
      </c>
      <c r="L125" s="4" t="n">
        <v>98.1537553</v>
      </c>
      <c r="M125" s="3" t="n">
        <v>343.9</v>
      </c>
      <c r="N125" s="4" t="n">
        <v>1.846244699</v>
      </c>
      <c r="O125" s="9" t="n">
        <f aca="false">$C$5-G125</f>
        <v>43</v>
      </c>
      <c r="P125" s="3" t="n">
        <f aca="false">H125/O125</f>
        <v>433.186046511628</v>
      </c>
      <c r="Q125" s="2" t="str">
        <f aca="false">IF(G125&lt;2010,"Legacy (pre-2010)",IF(G125&lt;=2017,"Established (2010-2017)","Emerging (2018+)"))</f>
        <v>Legacy (pre-2010)</v>
      </c>
    </row>
    <row r="126" customFormat="false" ht="15" hidden="false" customHeight="false" outlineLevel="0" collapsed="false">
      <c r="A126" s="2" t="s">
        <v>177</v>
      </c>
      <c r="B126" s="2" t="s">
        <v>15</v>
      </c>
      <c r="C126" s="2" t="s">
        <v>22</v>
      </c>
      <c r="D126" s="2" t="s">
        <v>25</v>
      </c>
      <c r="E126" s="2" t="s">
        <v>26</v>
      </c>
      <c r="F126" s="2" t="s">
        <v>19</v>
      </c>
      <c r="G126" s="2" t="n">
        <v>2003</v>
      </c>
      <c r="H126" s="3" t="n">
        <v>18580.6</v>
      </c>
      <c r="I126" s="3" t="n">
        <v>14990.8</v>
      </c>
      <c r="J126" s="3" t="n">
        <v>3601.2</v>
      </c>
      <c r="K126" s="3" t="n">
        <v>8321.9</v>
      </c>
      <c r="L126" s="4" t="n">
        <v>44.78811233</v>
      </c>
      <c r="M126" s="3" t="n">
        <v>10258.7</v>
      </c>
      <c r="N126" s="4" t="n">
        <v>55.21188767</v>
      </c>
      <c r="O126" s="9" t="n">
        <f aca="false">$C$5-G126</f>
        <v>23</v>
      </c>
      <c r="P126" s="3" t="n">
        <f aca="false">H126/O126</f>
        <v>807.852173913043</v>
      </c>
      <c r="Q126" s="2" t="str">
        <f aca="false">IF(G126&lt;2010,"Legacy (pre-2010)",IF(G126&lt;=2017,"Established (2010-2017)","Emerging (2018+)"))</f>
        <v>Legacy (pre-2010)</v>
      </c>
    </row>
    <row r="127" customFormat="false" ht="15" hidden="false" customHeight="false" outlineLevel="0" collapsed="false">
      <c r="A127" s="2" t="s">
        <v>178</v>
      </c>
      <c r="B127" s="2" t="s">
        <v>15</v>
      </c>
      <c r="C127" s="2" t="s">
        <v>22</v>
      </c>
      <c r="D127" s="2" t="s">
        <v>17</v>
      </c>
      <c r="E127" s="2" t="s">
        <v>28</v>
      </c>
      <c r="F127" s="2" t="s">
        <v>19</v>
      </c>
      <c r="G127" s="2" t="n">
        <v>1994</v>
      </c>
      <c r="H127" s="3" t="n">
        <v>18413.2</v>
      </c>
      <c r="I127" s="3" t="n">
        <v>12525.4</v>
      </c>
      <c r="J127" s="3" t="n">
        <v>5896.3</v>
      </c>
      <c r="K127" s="3" t="n">
        <v>5222.1</v>
      </c>
      <c r="L127" s="4" t="n">
        <v>28.36063259</v>
      </c>
      <c r="M127" s="3" t="n">
        <v>13191.1</v>
      </c>
      <c r="N127" s="4" t="n">
        <v>71.63936741</v>
      </c>
      <c r="O127" s="9" t="n">
        <f aca="false">$C$5-G127</f>
        <v>32</v>
      </c>
      <c r="P127" s="3" t="n">
        <f aca="false">H127/O127</f>
        <v>575.4125</v>
      </c>
      <c r="Q127" s="2" t="str">
        <f aca="false">IF(G127&lt;2010,"Legacy (pre-2010)",IF(G127&lt;=2017,"Established (2010-2017)","Emerging (2018+)"))</f>
        <v>Legacy (pre-2010)</v>
      </c>
    </row>
    <row r="128" customFormat="false" ht="15" hidden="false" customHeight="false" outlineLevel="0" collapsed="false">
      <c r="A128" s="2" t="s">
        <v>179</v>
      </c>
      <c r="B128" s="2" t="s">
        <v>15</v>
      </c>
      <c r="C128" s="2" t="s">
        <v>22</v>
      </c>
      <c r="D128" s="2" t="s">
        <v>17</v>
      </c>
      <c r="E128" s="2" t="s">
        <v>23</v>
      </c>
      <c r="F128" s="2" t="s">
        <v>19</v>
      </c>
      <c r="G128" s="2" t="n">
        <v>2015</v>
      </c>
      <c r="H128" s="3" t="n">
        <v>18309.3</v>
      </c>
      <c r="I128" s="3" t="n">
        <v>14642.3</v>
      </c>
      <c r="J128" s="3" t="n">
        <v>3673.3</v>
      </c>
      <c r="K128" s="3" t="n">
        <v>8613.7</v>
      </c>
      <c r="L128" s="4" t="n">
        <v>47.04549054</v>
      </c>
      <c r="M128" s="3" t="n">
        <v>9695.6</v>
      </c>
      <c r="N128" s="4" t="n">
        <v>52.95450946</v>
      </c>
      <c r="O128" s="9" t="n">
        <f aca="false">$C$5-G128</f>
        <v>11</v>
      </c>
      <c r="P128" s="3" t="n">
        <f aca="false">H128/O128</f>
        <v>1664.48181818182</v>
      </c>
      <c r="Q128" s="2" t="str">
        <f aca="false">IF(G128&lt;2010,"Legacy (pre-2010)",IF(G128&lt;=2017,"Established (2010-2017)","Emerging (2018+)"))</f>
        <v>Established (2010-2017)</v>
      </c>
    </row>
    <row r="129" customFormat="false" ht="15" hidden="false" customHeight="false" outlineLevel="0" collapsed="false">
      <c r="A129" s="2" t="s">
        <v>180</v>
      </c>
      <c r="B129" s="2" t="s">
        <v>15</v>
      </c>
      <c r="C129" s="2" t="s">
        <v>22</v>
      </c>
      <c r="D129" s="2" t="s">
        <v>17</v>
      </c>
      <c r="E129" s="2" t="s">
        <v>23</v>
      </c>
      <c r="F129" s="2" t="s">
        <v>19</v>
      </c>
      <c r="G129" s="2" t="n">
        <v>2002</v>
      </c>
      <c r="H129" s="3" t="n">
        <v>18270.8</v>
      </c>
      <c r="I129" s="3" t="n">
        <v>13165.8</v>
      </c>
      <c r="J129" s="3" t="n">
        <v>5114.9</v>
      </c>
      <c r="K129" s="3" t="n">
        <v>8899.2</v>
      </c>
      <c r="L129" s="4" t="n">
        <v>48.70722683</v>
      </c>
      <c r="M129" s="3" t="n">
        <v>9371.6</v>
      </c>
      <c r="N129" s="4" t="n">
        <v>51.29277317</v>
      </c>
      <c r="O129" s="9" t="n">
        <f aca="false">$C$5-G129</f>
        <v>24</v>
      </c>
      <c r="P129" s="3" t="n">
        <f aca="false">H129/O129</f>
        <v>761.283333333333</v>
      </c>
      <c r="Q129" s="2" t="str">
        <f aca="false">IF(G129&lt;2010,"Legacy (pre-2010)",IF(G129&lt;=2017,"Established (2010-2017)","Emerging (2018+)"))</f>
        <v>Legacy (pre-2010)</v>
      </c>
    </row>
    <row r="130" customFormat="false" ht="15" hidden="false" customHeight="false" outlineLevel="0" collapsed="false">
      <c r="A130" s="2" t="s">
        <v>181</v>
      </c>
      <c r="B130" s="2" t="s">
        <v>15</v>
      </c>
      <c r="C130" s="2" t="s">
        <v>182</v>
      </c>
      <c r="D130" s="2" t="s">
        <v>17</v>
      </c>
      <c r="E130" s="2" t="s">
        <v>61</v>
      </c>
      <c r="F130" s="2" t="s">
        <v>19</v>
      </c>
      <c r="G130" s="2" t="n">
        <v>1994</v>
      </c>
      <c r="H130" s="3" t="n">
        <v>18217.1</v>
      </c>
      <c r="I130" s="3" t="n">
        <v>13653.1</v>
      </c>
      <c r="J130" s="3" t="n">
        <v>4569.1</v>
      </c>
      <c r="K130" s="3" t="n">
        <v>3490.5</v>
      </c>
      <c r="L130" s="4" t="n">
        <v>19.16056892</v>
      </c>
      <c r="M130" s="3" t="n">
        <v>14726.6</v>
      </c>
      <c r="N130" s="4" t="n">
        <v>80.83943108</v>
      </c>
      <c r="O130" s="9" t="n">
        <f aca="false">$C$5-G130</f>
        <v>32</v>
      </c>
      <c r="P130" s="3" t="n">
        <f aca="false">H130/O130</f>
        <v>569.284375</v>
      </c>
      <c r="Q130" s="2" t="str">
        <f aca="false">IF(G130&lt;2010,"Legacy (pre-2010)",IF(G130&lt;=2017,"Established (2010-2017)","Emerging (2018+)"))</f>
        <v>Legacy (pre-2010)</v>
      </c>
    </row>
    <row r="131" customFormat="false" ht="15" hidden="false" customHeight="false" outlineLevel="0" collapsed="false">
      <c r="A131" s="2" t="s">
        <v>183</v>
      </c>
      <c r="B131" s="2" t="s">
        <v>15</v>
      </c>
      <c r="C131" s="2" t="s">
        <v>184</v>
      </c>
      <c r="D131" s="2" t="s">
        <v>17</v>
      </c>
      <c r="E131" s="2" t="s">
        <v>185</v>
      </c>
      <c r="F131" s="2" t="s">
        <v>19</v>
      </c>
      <c r="G131" s="2" t="n">
        <v>1996</v>
      </c>
      <c r="H131" s="3" t="n">
        <v>18203.3</v>
      </c>
      <c r="I131" s="3" t="n">
        <v>9674.9</v>
      </c>
      <c r="J131" s="3" t="n">
        <v>8539.4</v>
      </c>
      <c r="K131" s="3" t="n">
        <v>4460.6</v>
      </c>
      <c r="L131" s="4" t="n">
        <v>24.50434811</v>
      </c>
      <c r="M131" s="3" t="n">
        <v>13742.7</v>
      </c>
      <c r="N131" s="4" t="n">
        <v>75.49565189</v>
      </c>
      <c r="O131" s="9" t="n">
        <f aca="false">$C$5-G131</f>
        <v>30</v>
      </c>
      <c r="P131" s="3" t="n">
        <f aca="false">H131/O131</f>
        <v>606.776666666667</v>
      </c>
      <c r="Q131" s="2" t="str">
        <f aca="false">IF(G131&lt;2010,"Legacy (pre-2010)",IF(G131&lt;=2017,"Established (2010-2017)","Emerging (2018+)"))</f>
        <v>Legacy (pre-2010)</v>
      </c>
    </row>
    <row r="132" customFormat="false" ht="15" hidden="false" customHeight="false" outlineLevel="0" collapsed="false">
      <c r="A132" s="2" t="s">
        <v>186</v>
      </c>
      <c r="B132" s="2" t="s">
        <v>15</v>
      </c>
      <c r="C132" s="2" t="s">
        <v>22</v>
      </c>
      <c r="D132" s="2" t="s">
        <v>17</v>
      </c>
      <c r="E132" s="2" t="s">
        <v>18</v>
      </c>
      <c r="F132" s="2" t="s">
        <v>19</v>
      </c>
      <c r="G132" s="2" t="n">
        <v>2008</v>
      </c>
      <c r="H132" s="3" t="n">
        <v>18064.3</v>
      </c>
      <c r="I132" s="3" t="n">
        <v>7403</v>
      </c>
      <c r="J132" s="3" t="n">
        <v>10664.8</v>
      </c>
      <c r="K132" s="3" t="n">
        <v>2757.4</v>
      </c>
      <c r="L132" s="4" t="n">
        <v>15.2643612</v>
      </c>
      <c r="M132" s="3" t="n">
        <v>15306.9</v>
      </c>
      <c r="N132" s="4" t="n">
        <v>84.7356388</v>
      </c>
      <c r="O132" s="9" t="n">
        <f aca="false">$C$5-G132</f>
        <v>18</v>
      </c>
      <c r="P132" s="3" t="n">
        <f aca="false">H132/O132</f>
        <v>1003.57222222222</v>
      </c>
      <c r="Q132" s="2" t="str">
        <f aca="false">IF(G132&lt;2010,"Legacy (pre-2010)",IF(G132&lt;=2017,"Established (2010-2017)","Emerging (2018+)"))</f>
        <v>Legacy (pre-2010)</v>
      </c>
    </row>
    <row r="133" customFormat="false" ht="15" hidden="false" customHeight="false" outlineLevel="0" collapsed="false">
      <c r="A133" s="2" t="s">
        <v>187</v>
      </c>
      <c r="B133" s="2" t="s">
        <v>21</v>
      </c>
      <c r="C133" s="2" t="s">
        <v>43</v>
      </c>
      <c r="D133" s="2" t="s">
        <v>17</v>
      </c>
      <c r="E133" s="2" t="s">
        <v>28</v>
      </c>
      <c r="F133" s="2" t="s">
        <v>19</v>
      </c>
      <c r="G133" s="2" t="n">
        <v>2012</v>
      </c>
      <c r="H133" s="3" t="n">
        <v>18005.3</v>
      </c>
      <c r="I133" s="3" t="n">
        <v>10367</v>
      </c>
      <c r="J133" s="3" t="n">
        <v>7646.6</v>
      </c>
      <c r="K133" s="3" t="n">
        <v>7259.1</v>
      </c>
      <c r="L133" s="4" t="n">
        <v>40.31646237</v>
      </c>
      <c r="M133" s="3" t="n">
        <v>10746.2</v>
      </c>
      <c r="N133" s="4" t="n">
        <v>59.68353763</v>
      </c>
      <c r="O133" s="9" t="n">
        <f aca="false">$C$5-G133</f>
        <v>14</v>
      </c>
      <c r="P133" s="3" t="n">
        <f aca="false">H133/O133</f>
        <v>1286.09285714286</v>
      </c>
      <c r="Q133" s="2" t="str">
        <f aca="false">IF(G133&lt;2010,"Legacy (pre-2010)",IF(G133&lt;=2017,"Established (2010-2017)","Emerging (2018+)"))</f>
        <v>Established (2010-2017)</v>
      </c>
    </row>
    <row r="134" customFormat="false" ht="15" hidden="false" customHeight="false" outlineLevel="0" collapsed="false">
      <c r="A134" s="2" t="s">
        <v>188</v>
      </c>
      <c r="B134" s="2" t="s">
        <v>15</v>
      </c>
      <c r="C134" s="2" t="s">
        <v>22</v>
      </c>
      <c r="D134" s="2" t="s">
        <v>17</v>
      </c>
      <c r="E134" s="2" t="s">
        <v>18</v>
      </c>
      <c r="F134" s="2" t="s">
        <v>19</v>
      </c>
      <c r="G134" s="2" t="n">
        <v>2009</v>
      </c>
      <c r="H134" s="3" t="n">
        <v>17738.8</v>
      </c>
      <c r="I134" s="3" t="n">
        <v>11748.1</v>
      </c>
      <c r="J134" s="3" t="n">
        <v>5997.1</v>
      </c>
      <c r="K134" s="3" t="n">
        <v>7693.4</v>
      </c>
      <c r="L134" s="4" t="n">
        <v>43.37046474</v>
      </c>
      <c r="M134" s="3" t="n">
        <v>10045.4</v>
      </c>
      <c r="N134" s="4" t="n">
        <v>56.62953526</v>
      </c>
      <c r="O134" s="9" t="n">
        <f aca="false">$C$5-G134</f>
        <v>17</v>
      </c>
      <c r="P134" s="3" t="n">
        <f aca="false">H134/O134</f>
        <v>1043.45882352941</v>
      </c>
      <c r="Q134" s="2" t="str">
        <f aca="false">IF(G134&lt;2010,"Legacy (pre-2010)",IF(G134&lt;=2017,"Established (2010-2017)","Emerging (2018+)"))</f>
        <v>Legacy (pre-2010)</v>
      </c>
    </row>
    <row r="135" customFormat="false" ht="15" hidden="false" customHeight="false" outlineLevel="0" collapsed="false">
      <c r="A135" s="2" t="s">
        <v>189</v>
      </c>
      <c r="B135" s="2" t="s">
        <v>15</v>
      </c>
      <c r="C135" s="2" t="s">
        <v>22</v>
      </c>
      <c r="D135" s="2" t="s">
        <v>17</v>
      </c>
      <c r="E135" s="2" t="s">
        <v>23</v>
      </c>
      <c r="F135" s="2" t="s">
        <v>19</v>
      </c>
      <c r="G135" s="2" t="n">
        <v>2009</v>
      </c>
      <c r="H135" s="3" t="n">
        <v>17720.2</v>
      </c>
      <c r="I135" s="3" t="n">
        <v>13610.1</v>
      </c>
      <c r="J135" s="3" t="n">
        <v>4116.2</v>
      </c>
      <c r="K135" s="3" t="n">
        <v>8342.7</v>
      </c>
      <c r="L135" s="4" t="n">
        <v>47.0801684</v>
      </c>
      <c r="M135" s="3" t="n">
        <v>9377.5</v>
      </c>
      <c r="N135" s="4" t="n">
        <v>52.9198316</v>
      </c>
      <c r="O135" s="9" t="n">
        <f aca="false">$C$5-G135</f>
        <v>17</v>
      </c>
      <c r="P135" s="3" t="n">
        <f aca="false">H135/O135</f>
        <v>1042.36470588235</v>
      </c>
      <c r="Q135" s="2" t="str">
        <f aca="false">IF(G135&lt;2010,"Legacy (pre-2010)",IF(G135&lt;=2017,"Established (2010-2017)","Emerging (2018+)"))</f>
        <v>Legacy (pre-2010)</v>
      </c>
    </row>
    <row r="136" customFormat="false" ht="15" hidden="false" customHeight="false" outlineLevel="0" collapsed="false">
      <c r="A136" s="2" t="s">
        <v>190</v>
      </c>
      <c r="B136" s="2" t="s">
        <v>21</v>
      </c>
      <c r="C136" s="2" t="s">
        <v>46</v>
      </c>
      <c r="D136" s="2" t="s">
        <v>47</v>
      </c>
      <c r="E136" s="2" t="s">
        <v>48</v>
      </c>
      <c r="F136" s="2" t="s">
        <v>49</v>
      </c>
      <c r="G136" s="2" t="n">
        <v>2016</v>
      </c>
      <c r="H136" s="3" t="n">
        <v>17517.4</v>
      </c>
      <c r="I136" s="3" t="n">
        <v>7595.2</v>
      </c>
      <c r="J136" s="3" t="n">
        <v>9927.8</v>
      </c>
      <c r="K136" s="3" t="n">
        <v>15415.4</v>
      </c>
      <c r="L136" s="4" t="n">
        <v>88.00050236</v>
      </c>
      <c r="M136" s="3" t="n">
        <v>2102</v>
      </c>
      <c r="N136" s="4" t="n">
        <v>11.99949764</v>
      </c>
      <c r="O136" s="9" t="n">
        <f aca="false">$C$5-G136</f>
        <v>10</v>
      </c>
      <c r="P136" s="3" t="n">
        <f aca="false">H136/O136</f>
        <v>1751.74</v>
      </c>
      <c r="Q136" s="2" t="str">
        <f aca="false">IF(G136&lt;2010,"Legacy (pre-2010)",IF(G136&lt;=2017,"Established (2010-2017)","Emerging (2018+)"))</f>
        <v>Established (2010-2017)</v>
      </c>
    </row>
    <row r="137" customFormat="false" ht="15" hidden="false" customHeight="false" outlineLevel="0" collapsed="false">
      <c r="A137" s="2" t="s">
        <v>191</v>
      </c>
      <c r="B137" s="2" t="s">
        <v>15</v>
      </c>
      <c r="C137" s="2" t="s">
        <v>22</v>
      </c>
      <c r="D137" s="2" t="s">
        <v>25</v>
      </c>
      <c r="E137" s="2" t="s">
        <v>26</v>
      </c>
      <c r="F137" s="2" t="s">
        <v>19</v>
      </c>
      <c r="G137" s="2" t="n">
        <v>2017</v>
      </c>
      <c r="H137" s="3" t="n">
        <v>17516.1</v>
      </c>
      <c r="I137" s="3" t="n">
        <v>16311.4</v>
      </c>
      <c r="J137" s="3" t="n">
        <v>1210.7</v>
      </c>
      <c r="K137" s="3" t="n">
        <v>2137.8</v>
      </c>
      <c r="L137" s="4" t="n">
        <v>12.20477161</v>
      </c>
      <c r="M137" s="3" t="n">
        <v>15378.3</v>
      </c>
      <c r="N137" s="4" t="n">
        <v>87.79522839</v>
      </c>
      <c r="O137" s="9" t="n">
        <f aca="false">$C$5-G137</f>
        <v>9</v>
      </c>
      <c r="P137" s="3" t="n">
        <f aca="false">H137/O137</f>
        <v>1946.23333333333</v>
      </c>
      <c r="Q137" s="2" t="str">
        <f aca="false">IF(G137&lt;2010,"Legacy (pre-2010)",IF(G137&lt;=2017,"Established (2010-2017)","Emerging (2018+)"))</f>
        <v>Established (2010-2017)</v>
      </c>
    </row>
    <row r="138" customFormat="false" ht="15" hidden="false" customHeight="false" outlineLevel="0" collapsed="false">
      <c r="A138" s="2" t="s">
        <v>192</v>
      </c>
      <c r="B138" s="2" t="s">
        <v>21</v>
      </c>
      <c r="C138" s="2" t="s">
        <v>22</v>
      </c>
      <c r="D138" s="2" t="s">
        <v>17</v>
      </c>
      <c r="E138" s="2" t="s">
        <v>23</v>
      </c>
      <c r="F138" s="2" t="s">
        <v>19</v>
      </c>
      <c r="G138" s="2" t="n">
        <v>2014</v>
      </c>
      <c r="H138" s="3" t="n">
        <v>17440.2</v>
      </c>
      <c r="I138" s="3" t="n">
        <v>5933.3</v>
      </c>
      <c r="J138" s="3" t="n">
        <v>11512.1</v>
      </c>
      <c r="K138" s="3" t="n">
        <v>2784</v>
      </c>
      <c r="L138" s="4" t="n">
        <v>15.96311969</v>
      </c>
      <c r="M138" s="3" t="n">
        <v>14656.2</v>
      </c>
      <c r="N138" s="4" t="n">
        <v>84.03688031</v>
      </c>
      <c r="O138" s="9" t="n">
        <f aca="false">$C$5-G138</f>
        <v>12</v>
      </c>
      <c r="P138" s="3" t="n">
        <f aca="false">H138/O138</f>
        <v>1453.35</v>
      </c>
      <c r="Q138" s="2" t="str">
        <f aca="false">IF(G138&lt;2010,"Legacy (pre-2010)",IF(G138&lt;=2017,"Established (2010-2017)","Emerging (2018+)"))</f>
        <v>Established (2010-2017)</v>
      </c>
    </row>
    <row r="139" customFormat="false" ht="15" hidden="false" customHeight="false" outlineLevel="0" collapsed="false">
      <c r="A139" s="2" t="s">
        <v>193</v>
      </c>
      <c r="B139" s="2" t="s">
        <v>15</v>
      </c>
      <c r="C139" s="2" t="s">
        <v>60</v>
      </c>
      <c r="D139" s="2" t="s">
        <v>17</v>
      </c>
      <c r="E139" s="2" t="s">
        <v>61</v>
      </c>
      <c r="F139" s="2" t="s">
        <v>49</v>
      </c>
      <c r="G139" s="2" t="n">
        <v>1994</v>
      </c>
      <c r="H139" s="3" t="n">
        <v>17316.6</v>
      </c>
      <c r="I139" s="3" t="n">
        <v>10309.7</v>
      </c>
      <c r="J139" s="3" t="n">
        <v>7013.9</v>
      </c>
      <c r="K139" s="3" t="n">
        <v>6283</v>
      </c>
      <c r="L139" s="4" t="n">
        <v>36.28310407</v>
      </c>
      <c r="M139" s="3" t="n">
        <v>11033.6</v>
      </c>
      <c r="N139" s="4" t="n">
        <v>63.71689593</v>
      </c>
      <c r="O139" s="9" t="n">
        <f aca="false">$C$5-G139</f>
        <v>32</v>
      </c>
      <c r="P139" s="3" t="n">
        <f aca="false">H139/O139</f>
        <v>541.14375</v>
      </c>
      <c r="Q139" s="2" t="str">
        <f aca="false">IF(G139&lt;2010,"Legacy (pre-2010)",IF(G139&lt;=2017,"Established (2010-2017)","Emerging (2018+)"))</f>
        <v>Legacy (pre-2010)</v>
      </c>
    </row>
    <row r="140" customFormat="false" ht="15" hidden="false" customHeight="false" outlineLevel="0" collapsed="false">
      <c r="A140" s="2" t="s">
        <v>194</v>
      </c>
      <c r="B140" s="2" t="s">
        <v>15</v>
      </c>
      <c r="C140" s="2" t="s">
        <v>90</v>
      </c>
      <c r="D140" s="2" t="s">
        <v>25</v>
      </c>
      <c r="E140" s="2" t="s">
        <v>83</v>
      </c>
      <c r="F140" s="2" t="s">
        <v>19</v>
      </c>
      <c r="G140" s="2" t="n">
        <v>1982</v>
      </c>
      <c r="H140" s="3" t="n">
        <v>17314.1</v>
      </c>
      <c r="I140" s="3" t="n">
        <v>17301.5</v>
      </c>
      <c r="J140" s="3" t="n">
        <v>20</v>
      </c>
      <c r="K140" s="3" t="n">
        <v>17281</v>
      </c>
      <c r="L140" s="4" t="n">
        <v>99.80882633</v>
      </c>
      <c r="M140" s="3" t="n">
        <v>33.1</v>
      </c>
      <c r="N140" s="4" t="n">
        <v>0.1911736677</v>
      </c>
      <c r="O140" s="9" t="n">
        <f aca="false">$C$5-G140</f>
        <v>44</v>
      </c>
      <c r="P140" s="3" t="n">
        <f aca="false">H140/O140</f>
        <v>393.502272727273</v>
      </c>
      <c r="Q140" s="2" t="str">
        <f aca="false">IF(G140&lt;2010,"Legacy (pre-2010)",IF(G140&lt;=2017,"Established (2010-2017)","Emerging (2018+)"))</f>
        <v>Legacy (pre-2010)</v>
      </c>
    </row>
    <row r="141" customFormat="false" ht="15" hidden="false" customHeight="false" outlineLevel="0" collapsed="false">
      <c r="A141" s="2" t="s">
        <v>195</v>
      </c>
      <c r="B141" s="2" t="s">
        <v>21</v>
      </c>
      <c r="C141" s="2" t="s">
        <v>22</v>
      </c>
      <c r="D141" s="2" t="s">
        <v>17</v>
      </c>
      <c r="E141" s="2" t="s">
        <v>23</v>
      </c>
      <c r="F141" s="2" t="s">
        <v>19</v>
      </c>
      <c r="G141" s="2" t="n">
        <v>2008</v>
      </c>
      <c r="H141" s="3" t="n">
        <v>17119.5</v>
      </c>
      <c r="I141" s="3" t="n">
        <v>11625.6</v>
      </c>
      <c r="J141" s="3" t="n">
        <v>5498.6</v>
      </c>
      <c r="K141" s="3" t="n">
        <v>10006</v>
      </c>
      <c r="L141" s="4" t="n">
        <v>58.44796869</v>
      </c>
      <c r="M141" s="3" t="n">
        <v>7113.5</v>
      </c>
      <c r="N141" s="4" t="n">
        <v>41.55203131</v>
      </c>
      <c r="O141" s="9" t="n">
        <f aca="false">$C$5-G141</f>
        <v>18</v>
      </c>
      <c r="P141" s="3" t="n">
        <f aca="false">H141/O141</f>
        <v>951.083333333333</v>
      </c>
      <c r="Q141" s="2" t="str">
        <f aca="false">IF(G141&lt;2010,"Legacy (pre-2010)",IF(G141&lt;=2017,"Established (2010-2017)","Emerging (2018+)"))</f>
        <v>Legacy (pre-2010)</v>
      </c>
    </row>
    <row r="142" customFormat="false" ht="15" hidden="false" customHeight="false" outlineLevel="0" collapsed="false">
      <c r="A142" s="2" t="s">
        <v>196</v>
      </c>
      <c r="B142" s="2" t="s">
        <v>15</v>
      </c>
      <c r="C142" s="2" t="s">
        <v>197</v>
      </c>
      <c r="D142" s="2" t="s">
        <v>17</v>
      </c>
      <c r="E142" s="2" t="s">
        <v>28</v>
      </c>
      <c r="F142" s="2" t="s">
        <v>19</v>
      </c>
      <c r="G142" s="2" t="n">
        <v>2004</v>
      </c>
      <c r="H142" s="3" t="n">
        <v>17056</v>
      </c>
      <c r="I142" s="3" t="n">
        <v>8007.4</v>
      </c>
      <c r="J142" s="3" t="n">
        <v>9059.5</v>
      </c>
      <c r="K142" s="3" t="n">
        <v>4403.1</v>
      </c>
      <c r="L142" s="4" t="n">
        <v>25.81554878</v>
      </c>
      <c r="M142" s="3" t="n">
        <v>12652.9</v>
      </c>
      <c r="N142" s="4" t="n">
        <v>74.18445122</v>
      </c>
      <c r="O142" s="9" t="n">
        <f aca="false">$C$5-G142</f>
        <v>22</v>
      </c>
      <c r="P142" s="3" t="n">
        <f aca="false">H142/O142</f>
        <v>775.272727272727</v>
      </c>
      <c r="Q142" s="2" t="str">
        <f aca="false">IF(G142&lt;2010,"Legacy (pre-2010)",IF(G142&lt;=2017,"Established (2010-2017)","Emerging (2018+)"))</f>
        <v>Legacy (pre-2010)</v>
      </c>
    </row>
    <row r="143" customFormat="false" ht="15" hidden="false" customHeight="false" outlineLevel="0" collapsed="false">
      <c r="A143" s="2" t="s">
        <v>198</v>
      </c>
      <c r="B143" s="2" t="s">
        <v>15</v>
      </c>
      <c r="C143" s="2" t="s">
        <v>95</v>
      </c>
      <c r="D143" s="2" t="s">
        <v>17</v>
      </c>
      <c r="E143" s="2" t="s">
        <v>52</v>
      </c>
      <c r="F143" s="2" t="s">
        <v>49</v>
      </c>
      <c r="G143" s="2" t="n">
        <v>1975</v>
      </c>
      <c r="H143" s="3" t="n">
        <v>17010.5</v>
      </c>
      <c r="I143" s="3" t="n">
        <v>17018</v>
      </c>
      <c r="J143" s="3" t="n">
        <v>0</v>
      </c>
      <c r="K143" s="3" t="n">
        <v>17010.5</v>
      </c>
      <c r="L143" s="4" t="n">
        <v>100</v>
      </c>
      <c r="M143" s="3" t="n">
        <v>0</v>
      </c>
      <c r="N143" s="4" t="n">
        <v>0</v>
      </c>
      <c r="O143" s="9" t="n">
        <f aca="false">$C$5-G143</f>
        <v>51</v>
      </c>
      <c r="P143" s="3" t="n">
        <f aca="false">H143/O143</f>
        <v>333.539215686275</v>
      </c>
      <c r="Q143" s="2" t="str">
        <f aca="false">IF(G143&lt;2010,"Legacy (pre-2010)",IF(G143&lt;=2017,"Established (2010-2017)","Emerging (2018+)"))</f>
        <v>Legacy (pre-2010)</v>
      </c>
    </row>
    <row r="144" customFormat="false" ht="15" hidden="false" customHeight="false" outlineLevel="0" collapsed="false">
      <c r="A144" s="2" t="s">
        <v>199</v>
      </c>
      <c r="B144" s="2" t="s">
        <v>15</v>
      </c>
      <c r="C144" s="2" t="s">
        <v>43</v>
      </c>
      <c r="D144" s="2" t="s">
        <v>25</v>
      </c>
      <c r="E144" s="2" t="s">
        <v>83</v>
      </c>
      <c r="F144" s="2" t="s">
        <v>19</v>
      </c>
      <c r="G144" s="2" t="n">
        <v>2013</v>
      </c>
      <c r="H144" s="3" t="n">
        <v>16984.3</v>
      </c>
      <c r="I144" s="3" t="n">
        <v>10969.8</v>
      </c>
      <c r="J144" s="3" t="n">
        <v>6018.9</v>
      </c>
      <c r="K144" s="3" t="n">
        <v>4419.3</v>
      </c>
      <c r="L144" s="4" t="n">
        <v>26.01991251</v>
      </c>
      <c r="M144" s="3" t="n">
        <v>12565</v>
      </c>
      <c r="N144" s="4" t="n">
        <v>73.98008749</v>
      </c>
      <c r="O144" s="9" t="n">
        <f aca="false">$C$5-G144</f>
        <v>13</v>
      </c>
      <c r="P144" s="3" t="n">
        <f aca="false">H144/O144</f>
        <v>1306.48461538462</v>
      </c>
      <c r="Q144" s="2" t="str">
        <f aca="false">IF(G144&lt;2010,"Legacy (pre-2010)",IF(G144&lt;=2017,"Established (2010-2017)","Emerging (2018+)"))</f>
        <v>Established (2010-2017)</v>
      </c>
    </row>
    <row r="145" customFormat="false" ht="15" hidden="false" customHeight="false" outlineLevel="0" collapsed="false">
      <c r="A145" s="2" t="s">
        <v>200</v>
      </c>
      <c r="B145" s="2" t="s">
        <v>15</v>
      </c>
      <c r="C145" s="2" t="s">
        <v>90</v>
      </c>
      <c r="D145" s="2" t="s">
        <v>25</v>
      </c>
      <c r="E145" s="2" t="s">
        <v>91</v>
      </c>
      <c r="F145" s="2" t="s">
        <v>19</v>
      </c>
      <c r="G145" s="2" t="n">
        <v>2010</v>
      </c>
      <c r="H145" s="3" t="n">
        <v>16969.4</v>
      </c>
      <c r="I145" s="3" t="n">
        <v>10480.8</v>
      </c>
      <c r="J145" s="3" t="n">
        <v>6497.7</v>
      </c>
      <c r="K145" s="3" t="n">
        <v>7429.1</v>
      </c>
      <c r="L145" s="4" t="n">
        <v>43.77939114</v>
      </c>
      <c r="M145" s="3" t="n">
        <v>9540.3</v>
      </c>
      <c r="N145" s="4" t="n">
        <v>56.22060886</v>
      </c>
      <c r="O145" s="9" t="n">
        <f aca="false">$C$5-G145</f>
        <v>16</v>
      </c>
      <c r="P145" s="3" t="n">
        <f aca="false">H145/O145</f>
        <v>1060.5875</v>
      </c>
      <c r="Q145" s="2" t="str">
        <f aca="false">IF(G145&lt;2010,"Legacy (pre-2010)",IF(G145&lt;=2017,"Established (2010-2017)","Emerging (2018+)"))</f>
        <v>Established (2010-2017)</v>
      </c>
    </row>
    <row r="146" customFormat="false" ht="15" hidden="false" customHeight="false" outlineLevel="0" collapsed="false">
      <c r="A146" s="2" t="s">
        <v>201</v>
      </c>
      <c r="B146" s="2" t="s">
        <v>15</v>
      </c>
      <c r="C146" s="2" t="s">
        <v>161</v>
      </c>
      <c r="D146" s="2" t="s">
        <v>17</v>
      </c>
      <c r="E146" s="2" t="s">
        <v>61</v>
      </c>
      <c r="F146" s="2" t="s">
        <v>19</v>
      </c>
      <c r="G146" s="2" t="n">
        <v>2014</v>
      </c>
      <c r="H146" s="3" t="n">
        <v>16893.4</v>
      </c>
      <c r="I146" s="3" t="n">
        <v>13879.3</v>
      </c>
      <c r="J146" s="3" t="n">
        <v>3019.1</v>
      </c>
      <c r="K146" s="3" t="n">
        <v>5321.5</v>
      </c>
      <c r="L146" s="4" t="n">
        <v>31.50046764</v>
      </c>
      <c r="M146" s="3" t="n">
        <v>11571.9</v>
      </c>
      <c r="N146" s="4" t="n">
        <v>68.49953236</v>
      </c>
      <c r="O146" s="9" t="n">
        <f aca="false">$C$5-G146</f>
        <v>12</v>
      </c>
      <c r="P146" s="3" t="n">
        <f aca="false">H146/O146</f>
        <v>1407.78333333333</v>
      </c>
      <c r="Q146" s="2" t="str">
        <f aca="false">IF(G146&lt;2010,"Legacy (pre-2010)",IF(G146&lt;=2017,"Established (2010-2017)","Emerging (2018+)"))</f>
        <v>Established (2010-2017)</v>
      </c>
    </row>
    <row r="147" customFormat="false" ht="15" hidden="false" customHeight="false" outlineLevel="0" collapsed="false">
      <c r="A147" s="2" t="s">
        <v>202</v>
      </c>
      <c r="B147" s="2" t="s">
        <v>15</v>
      </c>
      <c r="C147" s="2" t="s">
        <v>22</v>
      </c>
      <c r="D147" s="2" t="s">
        <v>17</v>
      </c>
      <c r="E147" s="2" t="s">
        <v>18</v>
      </c>
      <c r="F147" s="2" t="s">
        <v>19</v>
      </c>
      <c r="G147" s="2" t="n">
        <v>2016</v>
      </c>
      <c r="H147" s="3" t="n">
        <v>16877.3</v>
      </c>
      <c r="I147" s="3" t="n">
        <v>11425.9</v>
      </c>
      <c r="J147" s="3" t="n">
        <v>5455.1</v>
      </c>
      <c r="K147" s="3" t="n">
        <v>6395.3</v>
      </c>
      <c r="L147" s="4" t="n">
        <v>37.89290941</v>
      </c>
      <c r="M147" s="3" t="n">
        <v>10482</v>
      </c>
      <c r="N147" s="4" t="n">
        <v>62.10709059</v>
      </c>
      <c r="O147" s="9" t="n">
        <f aca="false">$C$5-G147</f>
        <v>10</v>
      </c>
      <c r="P147" s="3" t="n">
        <f aca="false">H147/O147</f>
        <v>1687.73</v>
      </c>
      <c r="Q147" s="2" t="str">
        <f aca="false">IF(G147&lt;2010,"Legacy (pre-2010)",IF(G147&lt;=2017,"Established (2010-2017)","Emerging (2018+)"))</f>
        <v>Established (2010-2017)</v>
      </c>
    </row>
    <row r="148" customFormat="false" ht="15" hidden="false" customHeight="false" outlineLevel="0" collapsed="false">
      <c r="A148" s="2" t="s">
        <v>203</v>
      </c>
      <c r="B148" s="2" t="s">
        <v>79</v>
      </c>
      <c r="C148" s="2" t="s">
        <v>34</v>
      </c>
      <c r="D148" s="2" t="s">
        <v>17</v>
      </c>
      <c r="E148" s="2" t="s">
        <v>52</v>
      </c>
      <c r="F148" s="2" t="s">
        <v>49</v>
      </c>
      <c r="G148" s="2" t="n">
        <v>1967</v>
      </c>
      <c r="H148" s="3" t="n">
        <v>16577.5</v>
      </c>
      <c r="I148" s="3" t="n">
        <v>16577.5</v>
      </c>
      <c r="J148" s="3" t="n">
        <v>0.4</v>
      </c>
      <c r="K148" s="3" t="n">
        <v>16567.4</v>
      </c>
      <c r="L148" s="4" t="n">
        <v>99.93907405</v>
      </c>
      <c r="M148" s="3" t="n">
        <v>10.1</v>
      </c>
      <c r="N148" s="4" t="n">
        <v>0.06092595385</v>
      </c>
      <c r="O148" s="9" t="n">
        <f aca="false">$C$5-G148</f>
        <v>59</v>
      </c>
      <c r="P148" s="3" t="n">
        <f aca="false">H148/O148</f>
        <v>280.974576271186</v>
      </c>
      <c r="Q148" s="2" t="str">
        <f aca="false">IF(G148&lt;2010,"Legacy (pre-2010)",IF(G148&lt;=2017,"Established (2010-2017)","Emerging (2018+)"))</f>
        <v>Legacy (pre-2010)</v>
      </c>
    </row>
    <row r="149" customFormat="false" ht="15" hidden="false" customHeight="false" outlineLevel="0" collapsed="false">
      <c r="A149" s="2" t="s">
        <v>204</v>
      </c>
      <c r="B149" s="2" t="s">
        <v>15</v>
      </c>
      <c r="C149" s="2" t="s">
        <v>205</v>
      </c>
      <c r="D149" s="2" t="s">
        <v>17</v>
      </c>
      <c r="E149" s="2" t="s">
        <v>52</v>
      </c>
      <c r="F149" s="2" t="s">
        <v>19</v>
      </c>
      <c r="G149" s="2" t="n">
        <v>2013</v>
      </c>
      <c r="H149" s="3" t="n">
        <v>16556.5</v>
      </c>
      <c r="I149" s="3" t="n">
        <v>15920.4</v>
      </c>
      <c r="J149" s="3" t="n">
        <v>641.8</v>
      </c>
      <c r="K149" s="3" t="n">
        <v>15519.5</v>
      </c>
      <c r="L149" s="4" t="n">
        <v>93.73659892</v>
      </c>
      <c r="M149" s="3" t="n">
        <v>1037</v>
      </c>
      <c r="N149" s="4" t="n">
        <v>6.263401081</v>
      </c>
      <c r="O149" s="9" t="n">
        <f aca="false">$C$5-G149</f>
        <v>13</v>
      </c>
      <c r="P149" s="3" t="n">
        <f aca="false">H149/O149</f>
        <v>1273.57692307692</v>
      </c>
      <c r="Q149" s="2" t="str">
        <f aca="false">IF(G149&lt;2010,"Legacy (pre-2010)",IF(G149&lt;=2017,"Established (2010-2017)","Emerging (2018+)"))</f>
        <v>Established (2010-2017)</v>
      </c>
    </row>
    <row r="150" customFormat="false" ht="15" hidden="false" customHeight="false" outlineLevel="0" collapsed="false">
      <c r="A150" s="2" t="s">
        <v>206</v>
      </c>
      <c r="B150" s="2" t="s">
        <v>21</v>
      </c>
      <c r="C150" s="2" t="s">
        <v>34</v>
      </c>
      <c r="D150" s="2" t="s">
        <v>17</v>
      </c>
      <c r="E150" s="2" t="s">
        <v>23</v>
      </c>
      <c r="F150" s="2" t="s">
        <v>19</v>
      </c>
      <c r="G150" s="2" t="n">
        <v>2009</v>
      </c>
      <c r="H150" s="3" t="n">
        <v>16553.3</v>
      </c>
      <c r="I150" s="3" t="n">
        <v>11362.1</v>
      </c>
      <c r="J150" s="3" t="n">
        <v>5197.6</v>
      </c>
      <c r="K150" s="3" t="n">
        <v>8685.9</v>
      </c>
      <c r="L150" s="4" t="n">
        <v>52.4723167</v>
      </c>
      <c r="M150" s="3" t="n">
        <v>7867.4</v>
      </c>
      <c r="N150" s="4" t="n">
        <v>47.5276833</v>
      </c>
      <c r="O150" s="9" t="n">
        <f aca="false">$C$5-G150</f>
        <v>17</v>
      </c>
      <c r="P150" s="3" t="n">
        <f aca="false">H150/O150</f>
        <v>973.723529411765</v>
      </c>
      <c r="Q150" s="2" t="str">
        <f aca="false">IF(G150&lt;2010,"Legacy (pre-2010)",IF(G150&lt;=2017,"Established (2010-2017)","Emerging (2018+)"))</f>
        <v>Legacy (pre-2010)</v>
      </c>
    </row>
    <row r="151" customFormat="false" ht="15" hidden="false" customHeight="false" outlineLevel="0" collapsed="false">
      <c r="A151" s="2" t="s">
        <v>207</v>
      </c>
      <c r="B151" s="2" t="s">
        <v>15</v>
      </c>
      <c r="C151" s="2" t="s">
        <v>34</v>
      </c>
      <c r="D151" s="2" t="s">
        <v>17</v>
      </c>
      <c r="E151" s="2" t="s">
        <v>52</v>
      </c>
      <c r="F151" s="2" t="s">
        <v>49</v>
      </c>
      <c r="G151" s="2" t="n">
        <v>1992</v>
      </c>
      <c r="H151" s="3" t="n">
        <v>16454.9</v>
      </c>
      <c r="I151" s="3" t="n">
        <v>16461.5</v>
      </c>
      <c r="J151" s="3" t="n">
        <v>3</v>
      </c>
      <c r="K151" s="3" t="n">
        <v>16382.5</v>
      </c>
      <c r="L151" s="4" t="n">
        <v>99.56000948</v>
      </c>
      <c r="M151" s="3" t="n">
        <v>72.4</v>
      </c>
      <c r="N151" s="4" t="n">
        <v>0.4399905195</v>
      </c>
      <c r="O151" s="9" t="n">
        <f aca="false">$C$5-G151</f>
        <v>34</v>
      </c>
      <c r="P151" s="3" t="n">
        <f aca="false">H151/O151</f>
        <v>483.967647058824</v>
      </c>
      <c r="Q151" s="2" t="str">
        <f aca="false">IF(G151&lt;2010,"Legacy (pre-2010)",IF(G151&lt;=2017,"Established (2010-2017)","Emerging (2018+)"))</f>
        <v>Legacy (pre-2010)</v>
      </c>
    </row>
    <row r="152" customFormat="false" ht="15" hidden="false" customHeight="false" outlineLevel="0" collapsed="false">
      <c r="A152" s="2" t="s">
        <v>208</v>
      </c>
      <c r="B152" s="2" t="s">
        <v>15</v>
      </c>
      <c r="C152" s="2" t="s">
        <v>22</v>
      </c>
      <c r="D152" s="2" t="s">
        <v>17</v>
      </c>
      <c r="E152" s="2" t="s">
        <v>18</v>
      </c>
      <c r="F152" s="2" t="s">
        <v>19</v>
      </c>
      <c r="G152" s="2" t="n">
        <v>2007</v>
      </c>
      <c r="H152" s="3" t="n">
        <v>16428.9</v>
      </c>
      <c r="I152" s="3" t="n">
        <v>12009.4</v>
      </c>
      <c r="J152" s="3" t="n">
        <v>4364.5</v>
      </c>
      <c r="K152" s="3" t="n">
        <v>2139</v>
      </c>
      <c r="L152" s="4" t="n">
        <v>13.01973961</v>
      </c>
      <c r="M152" s="3" t="n">
        <v>14289.9</v>
      </c>
      <c r="N152" s="4" t="n">
        <v>86.98026039</v>
      </c>
      <c r="O152" s="9" t="n">
        <f aca="false">$C$5-G152</f>
        <v>19</v>
      </c>
      <c r="P152" s="3" t="n">
        <f aca="false">H152/O152</f>
        <v>864.678947368421</v>
      </c>
      <c r="Q152" s="2" t="str">
        <f aca="false">IF(G152&lt;2010,"Legacy (pre-2010)",IF(G152&lt;=2017,"Established (2010-2017)","Emerging (2018+)"))</f>
        <v>Legacy (pre-2010)</v>
      </c>
    </row>
    <row r="153" customFormat="false" ht="15" hidden="false" customHeight="false" outlineLevel="0" collapsed="false">
      <c r="A153" s="2" t="s">
        <v>209</v>
      </c>
      <c r="B153" s="2" t="s">
        <v>15</v>
      </c>
      <c r="C153" s="2" t="s">
        <v>22</v>
      </c>
      <c r="D153" s="2" t="s">
        <v>17</v>
      </c>
      <c r="E153" s="2" t="s">
        <v>18</v>
      </c>
      <c r="F153" s="2" t="s">
        <v>19</v>
      </c>
      <c r="G153" s="2" t="n">
        <v>2007</v>
      </c>
      <c r="H153" s="3" t="n">
        <v>16366.1</v>
      </c>
      <c r="I153" s="3" t="n">
        <v>14784.2</v>
      </c>
      <c r="J153" s="3" t="n">
        <v>1492.7</v>
      </c>
      <c r="K153" s="3" t="n">
        <v>4359.8</v>
      </c>
      <c r="L153" s="4" t="n">
        <v>26.63921154</v>
      </c>
      <c r="M153" s="3" t="n">
        <v>12006.3</v>
      </c>
      <c r="N153" s="4" t="n">
        <v>73.36078846</v>
      </c>
      <c r="O153" s="9" t="n">
        <f aca="false">$C$5-G153</f>
        <v>19</v>
      </c>
      <c r="P153" s="3" t="n">
        <f aca="false">H153/O153</f>
        <v>861.373684210526</v>
      </c>
      <c r="Q153" s="2" t="str">
        <f aca="false">IF(G153&lt;2010,"Legacy (pre-2010)",IF(G153&lt;=2017,"Established (2010-2017)","Emerging (2018+)"))</f>
        <v>Legacy (pre-2010)</v>
      </c>
    </row>
    <row r="154" customFormat="false" ht="15" hidden="false" customHeight="false" outlineLevel="0" collapsed="false">
      <c r="A154" s="2" t="s">
        <v>210</v>
      </c>
      <c r="B154" s="2" t="s">
        <v>21</v>
      </c>
      <c r="C154" s="2" t="s">
        <v>22</v>
      </c>
      <c r="D154" s="2" t="s">
        <v>17</v>
      </c>
      <c r="E154" s="2" t="s">
        <v>23</v>
      </c>
      <c r="F154" s="2" t="s">
        <v>19</v>
      </c>
      <c r="G154" s="2" t="n">
        <v>2000</v>
      </c>
      <c r="H154" s="3" t="n">
        <v>16271.6</v>
      </c>
      <c r="I154" s="3" t="n">
        <v>7125.4</v>
      </c>
      <c r="J154" s="3" t="n">
        <v>9125</v>
      </c>
      <c r="K154" s="3" t="n">
        <v>11023</v>
      </c>
      <c r="L154" s="4" t="n">
        <v>67.74379901</v>
      </c>
      <c r="M154" s="3" t="n">
        <v>5248.6</v>
      </c>
      <c r="N154" s="4" t="n">
        <v>32.25620099</v>
      </c>
      <c r="O154" s="9" t="n">
        <f aca="false">$C$5-G154</f>
        <v>26</v>
      </c>
      <c r="P154" s="3" t="n">
        <f aca="false">H154/O154</f>
        <v>625.830769230769</v>
      </c>
      <c r="Q154" s="2" t="str">
        <f aca="false">IF(G154&lt;2010,"Legacy (pre-2010)",IF(G154&lt;=2017,"Established (2010-2017)","Emerging (2018+)"))</f>
        <v>Legacy (pre-2010)</v>
      </c>
    </row>
    <row r="155" customFormat="false" ht="15" hidden="false" customHeight="false" outlineLevel="0" collapsed="false">
      <c r="A155" s="2" t="s">
        <v>211</v>
      </c>
      <c r="B155" s="2" t="s">
        <v>15</v>
      </c>
      <c r="C155" s="2" t="s">
        <v>22</v>
      </c>
      <c r="D155" s="2" t="s">
        <v>17</v>
      </c>
      <c r="E155" s="2" t="s">
        <v>52</v>
      </c>
      <c r="F155" s="2" t="s">
        <v>49</v>
      </c>
      <c r="G155" s="2" t="n">
        <v>1989</v>
      </c>
      <c r="H155" s="3" t="n">
        <v>16228.7</v>
      </c>
      <c r="I155" s="3" t="n">
        <v>16236</v>
      </c>
      <c r="J155" s="3" t="n">
        <v>0</v>
      </c>
      <c r="K155" s="3" t="n">
        <v>16228.7</v>
      </c>
      <c r="L155" s="4" t="n">
        <v>100</v>
      </c>
      <c r="M155" s="3" t="n">
        <v>0</v>
      </c>
      <c r="N155" s="4" t="n">
        <v>0</v>
      </c>
      <c r="O155" s="9" t="n">
        <f aca="false">$C$5-G155</f>
        <v>37</v>
      </c>
      <c r="P155" s="3" t="n">
        <f aca="false">H155/O155</f>
        <v>438.613513513514</v>
      </c>
      <c r="Q155" s="2" t="str">
        <f aca="false">IF(G155&lt;2010,"Legacy (pre-2010)",IF(G155&lt;=2017,"Established (2010-2017)","Emerging (2018+)"))</f>
        <v>Legacy (pre-2010)</v>
      </c>
    </row>
    <row r="156" customFormat="false" ht="15" hidden="false" customHeight="false" outlineLevel="0" collapsed="false">
      <c r="A156" s="2" t="s">
        <v>212</v>
      </c>
      <c r="B156" s="2" t="s">
        <v>15</v>
      </c>
      <c r="C156" s="2" t="s">
        <v>22</v>
      </c>
      <c r="D156" s="2" t="s">
        <v>17</v>
      </c>
      <c r="E156" s="2" t="s">
        <v>18</v>
      </c>
      <c r="F156" s="2" t="s">
        <v>19</v>
      </c>
      <c r="G156" s="2" t="n">
        <v>2018</v>
      </c>
      <c r="H156" s="3" t="n">
        <v>16217.4</v>
      </c>
      <c r="I156" s="3" t="n">
        <v>14631.5</v>
      </c>
      <c r="J156" s="3" t="n">
        <v>1588.4</v>
      </c>
      <c r="K156" s="3" t="n">
        <v>7841.6</v>
      </c>
      <c r="L156" s="4" t="n">
        <v>48.35300356</v>
      </c>
      <c r="M156" s="3" t="n">
        <v>8375.8</v>
      </c>
      <c r="N156" s="4" t="n">
        <v>51.64699644</v>
      </c>
      <c r="O156" s="9" t="n">
        <f aca="false">$C$5-G156</f>
        <v>8</v>
      </c>
      <c r="P156" s="3" t="n">
        <f aca="false">H156/O156</f>
        <v>2027.175</v>
      </c>
      <c r="Q156" s="2" t="str">
        <f aca="false">IF(G156&lt;2010,"Legacy (pre-2010)",IF(G156&lt;=2017,"Established (2010-2017)","Emerging (2018+)"))</f>
        <v>Emerging (2018+)</v>
      </c>
    </row>
    <row r="157" customFormat="false" ht="15" hidden="false" customHeight="false" outlineLevel="0" collapsed="false">
      <c r="A157" s="2" t="s">
        <v>213</v>
      </c>
      <c r="B157" s="2" t="s">
        <v>21</v>
      </c>
      <c r="C157" s="2" t="s">
        <v>22</v>
      </c>
      <c r="D157" s="2" t="s">
        <v>17</v>
      </c>
      <c r="E157" s="2" t="s">
        <v>23</v>
      </c>
      <c r="F157" s="2" t="s">
        <v>19</v>
      </c>
      <c r="G157" s="2" t="n">
        <v>1998</v>
      </c>
      <c r="H157" s="3" t="n">
        <v>16148.3</v>
      </c>
      <c r="I157" s="3" t="n">
        <v>14108.3</v>
      </c>
      <c r="J157" s="3" t="n">
        <v>2048.1</v>
      </c>
      <c r="K157" s="3" t="n">
        <v>13480.8</v>
      </c>
      <c r="L157" s="4" t="n">
        <v>83.48123332</v>
      </c>
      <c r="M157" s="3" t="n">
        <v>2667.5</v>
      </c>
      <c r="N157" s="4" t="n">
        <v>16.51876668</v>
      </c>
      <c r="O157" s="9" t="n">
        <f aca="false">$C$5-G157</f>
        <v>28</v>
      </c>
      <c r="P157" s="3" t="n">
        <f aca="false">H157/O157</f>
        <v>576.725</v>
      </c>
      <c r="Q157" s="2" t="str">
        <f aca="false">IF(G157&lt;2010,"Legacy (pre-2010)",IF(G157&lt;=2017,"Established (2010-2017)","Emerging (2018+)"))</f>
        <v>Legacy (pre-2010)</v>
      </c>
    </row>
    <row r="158" customFormat="false" ht="15" hidden="false" customHeight="false" outlineLevel="0" collapsed="false">
      <c r="A158" s="2" t="s">
        <v>214</v>
      </c>
      <c r="B158" s="2" t="s">
        <v>15</v>
      </c>
      <c r="C158" s="2" t="s">
        <v>34</v>
      </c>
      <c r="D158" s="2" t="s">
        <v>17</v>
      </c>
      <c r="E158" s="2" t="s">
        <v>23</v>
      </c>
      <c r="F158" s="2" t="s">
        <v>19</v>
      </c>
      <c r="G158" s="2" t="n">
        <v>2012</v>
      </c>
      <c r="H158" s="3" t="n">
        <v>16111.6</v>
      </c>
      <c r="I158" s="3" t="n">
        <v>14817.7</v>
      </c>
      <c r="J158" s="3" t="n">
        <v>1297.6</v>
      </c>
      <c r="K158" s="3" t="n">
        <v>12881.3</v>
      </c>
      <c r="L158" s="4" t="n">
        <v>79.95047047</v>
      </c>
      <c r="M158" s="3" t="n">
        <v>3230.3</v>
      </c>
      <c r="N158" s="4" t="n">
        <v>20.04952953</v>
      </c>
      <c r="O158" s="9" t="n">
        <f aca="false">$C$5-G158</f>
        <v>14</v>
      </c>
      <c r="P158" s="3" t="n">
        <f aca="false">H158/O158</f>
        <v>1150.82857142857</v>
      </c>
      <c r="Q158" s="2" t="str">
        <f aca="false">IF(G158&lt;2010,"Legacy (pre-2010)",IF(G158&lt;=2017,"Established (2010-2017)","Emerging (2018+)"))</f>
        <v>Established (2010-2017)</v>
      </c>
    </row>
    <row r="159" customFormat="false" ht="15" hidden="false" customHeight="false" outlineLevel="0" collapsed="false">
      <c r="A159" s="2" t="s">
        <v>215</v>
      </c>
      <c r="B159" s="2" t="s">
        <v>15</v>
      </c>
      <c r="C159" s="2" t="s">
        <v>16</v>
      </c>
      <c r="D159" s="2" t="s">
        <v>17</v>
      </c>
      <c r="E159" s="2" t="s">
        <v>18</v>
      </c>
      <c r="F159" s="2" t="s">
        <v>19</v>
      </c>
      <c r="G159" s="2" t="n">
        <v>2009</v>
      </c>
      <c r="H159" s="3" t="n">
        <v>16021.1</v>
      </c>
      <c r="I159" s="3" t="n">
        <v>11602.1</v>
      </c>
      <c r="J159" s="3" t="n">
        <v>4424.8</v>
      </c>
      <c r="K159" s="3" t="n">
        <v>8229.4</v>
      </c>
      <c r="L159" s="4" t="n">
        <v>51.36601107</v>
      </c>
      <c r="M159" s="3" t="n">
        <v>7791.7</v>
      </c>
      <c r="N159" s="4" t="n">
        <v>48.63398893</v>
      </c>
      <c r="O159" s="9" t="n">
        <f aca="false">$C$5-G159</f>
        <v>17</v>
      </c>
      <c r="P159" s="3" t="n">
        <f aca="false">H159/O159</f>
        <v>942.417647058824</v>
      </c>
      <c r="Q159" s="2" t="str">
        <f aca="false">IF(G159&lt;2010,"Legacy (pre-2010)",IF(G159&lt;=2017,"Established (2010-2017)","Emerging (2018+)"))</f>
        <v>Legacy (pre-2010)</v>
      </c>
    </row>
    <row r="160" customFormat="false" ht="15" hidden="false" customHeight="false" outlineLevel="0" collapsed="false">
      <c r="A160" s="2" t="s">
        <v>216</v>
      </c>
      <c r="B160" s="2" t="s">
        <v>15</v>
      </c>
      <c r="C160" s="2" t="s">
        <v>22</v>
      </c>
      <c r="D160" s="2" t="s">
        <v>17</v>
      </c>
      <c r="E160" s="2" t="s">
        <v>18</v>
      </c>
      <c r="F160" s="2" t="s">
        <v>19</v>
      </c>
      <c r="G160" s="2" t="n">
        <v>2006</v>
      </c>
      <c r="H160" s="3" t="n">
        <v>15952.2</v>
      </c>
      <c r="I160" s="3" t="n">
        <v>4000.7</v>
      </c>
      <c r="J160" s="3" t="n">
        <v>11957.2</v>
      </c>
      <c r="K160" s="3" t="n">
        <v>2951.3</v>
      </c>
      <c r="L160" s="4" t="n">
        <v>18.50089643</v>
      </c>
      <c r="M160" s="3" t="n">
        <v>13000.9</v>
      </c>
      <c r="N160" s="4" t="n">
        <v>81.49910357</v>
      </c>
      <c r="O160" s="9" t="n">
        <f aca="false">$C$5-G160</f>
        <v>20</v>
      </c>
      <c r="P160" s="3" t="n">
        <f aca="false">H160/O160</f>
        <v>797.61</v>
      </c>
      <c r="Q160" s="2" t="str">
        <f aca="false">IF(G160&lt;2010,"Legacy (pre-2010)",IF(G160&lt;=2017,"Established (2010-2017)","Emerging (2018+)"))</f>
        <v>Legacy (pre-2010)</v>
      </c>
    </row>
    <row r="161" customFormat="false" ht="15" hidden="false" customHeight="false" outlineLevel="0" collapsed="false">
      <c r="A161" s="2" t="s">
        <v>217</v>
      </c>
      <c r="B161" s="2" t="s">
        <v>15</v>
      </c>
      <c r="C161" s="2" t="s">
        <v>60</v>
      </c>
      <c r="D161" s="2" t="s">
        <v>17</v>
      </c>
      <c r="E161" s="2" t="s">
        <v>61</v>
      </c>
      <c r="F161" s="2" t="s">
        <v>19</v>
      </c>
      <c r="G161" s="2" t="n">
        <v>2013</v>
      </c>
      <c r="H161" s="3" t="n">
        <v>15921.1</v>
      </c>
      <c r="I161" s="3" t="n">
        <v>12030.1</v>
      </c>
      <c r="J161" s="3" t="n">
        <v>3896.3</v>
      </c>
      <c r="K161" s="3" t="n">
        <v>527.5</v>
      </c>
      <c r="L161" s="4" t="n">
        <v>3.313213283</v>
      </c>
      <c r="M161" s="3" t="n">
        <v>15393.6</v>
      </c>
      <c r="N161" s="4" t="n">
        <v>96.68678672</v>
      </c>
      <c r="O161" s="9" t="n">
        <f aca="false">$C$5-G161</f>
        <v>13</v>
      </c>
      <c r="P161" s="3" t="n">
        <f aca="false">H161/O161</f>
        <v>1224.7</v>
      </c>
      <c r="Q161" s="2" t="str">
        <f aca="false">IF(G161&lt;2010,"Legacy (pre-2010)",IF(G161&lt;=2017,"Established (2010-2017)","Emerging (2018+)"))</f>
        <v>Established (2010-2017)</v>
      </c>
    </row>
    <row r="162" customFormat="false" ht="15" hidden="false" customHeight="false" outlineLevel="0" collapsed="false">
      <c r="A162" s="2" t="s">
        <v>218</v>
      </c>
      <c r="B162" s="2" t="s">
        <v>15</v>
      </c>
      <c r="C162" s="2" t="s">
        <v>16</v>
      </c>
      <c r="D162" s="2" t="s">
        <v>17</v>
      </c>
      <c r="E162" s="2" t="s">
        <v>28</v>
      </c>
      <c r="F162" s="2" t="s">
        <v>19</v>
      </c>
      <c r="G162" s="2" t="n">
        <v>2014</v>
      </c>
      <c r="H162" s="3" t="n">
        <v>15876.2</v>
      </c>
      <c r="I162" s="3" t="n">
        <v>12905.1</v>
      </c>
      <c r="J162" s="3" t="n">
        <v>2982.4</v>
      </c>
      <c r="K162" s="3" t="n">
        <v>7353.2</v>
      </c>
      <c r="L162" s="4" t="n">
        <v>46.31586904</v>
      </c>
      <c r="M162" s="3" t="n">
        <v>8523</v>
      </c>
      <c r="N162" s="4" t="n">
        <v>53.68413096</v>
      </c>
      <c r="O162" s="9" t="n">
        <f aca="false">$C$5-G162</f>
        <v>12</v>
      </c>
      <c r="P162" s="3" t="n">
        <f aca="false">H162/O162</f>
        <v>1323.01666666667</v>
      </c>
      <c r="Q162" s="2" t="str">
        <f aca="false">IF(G162&lt;2010,"Legacy (pre-2010)",IF(G162&lt;=2017,"Established (2010-2017)","Emerging (2018+)"))</f>
        <v>Established (2010-2017)</v>
      </c>
    </row>
    <row r="163" customFormat="false" ht="15" hidden="false" customHeight="false" outlineLevel="0" collapsed="false">
      <c r="A163" s="2" t="s">
        <v>219</v>
      </c>
      <c r="B163" s="2" t="s">
        <v>79</v>
      </c>
      <c r="C163" s="2" t="s">
        <v>22</v>
      </c>
      <c r="D163" s="2" t="s">
        <v>17</v>
      </c>
      <c r="E163" s="2" t="s">
        <v>18</v>
      </c>
      <c r="F163" s="2" t="s">
        <v>49</v>
      </c>
      <c r="G163" s="2" t="n">
        <v>1998</v>
      </c>
      <c r="H163" s="3" t="n">
        <v>15775.7</v>
      </c>
      <c r="I163" s="3" t="n">
        <v>15257.4</v>
      </c>
      <c r="J163" s="3" t="n">
        <v>527.7</v>
      </c>
      <c r="K163" s="3" t="n">
        <v>11623</v>
      </c>
      <c r="L163" s="4" t="n">
        <v>73.67660389</v>
      </c>
      <c r="M163" s="3" t="n">
        <v>4152.7</v>
      </c>
      <c r="N163" s="4" t="n">
        <v>26.32339611</v>
      </c>
      <c r="O163" s="9" t="n">
        <f aca="false">$C$5-G163</f>
        <v>28</v>
      </c>
      <c r="P163" s="3" t="n">
        <f aca="false">H163/O163</f>
        <v>563.417857142857</v>
      </c>
      <c r="Q163" s="2" t="str">
        <f aca="false">IF(G163&lt;2010,"Legacy (pre-2010)",IF(G163&lt;=2017,"Established (2010-2017)","Emerging (2018+)"))</f>
        <v>Legacy (pre-2010)</v>
      </c>
    </row>
    <row r="164" customFormat="false" ht="15" hidden="false" customHeight="false" outlineLevel="0" collapsed="false">
      <c r="A164" s="2" t="s">
        <v>220</v>
      </c>
      <c r="B164" s="2" t="s">
        <v>15</v>
      </c>
      <c r="C164" s="2" t="s">
        <v>22</v>
      </c>
      <c r="D164" s="2" t="s">
        <v>17</v>
      </c>
      <c r="E164" s="2" t="s">
        <v>18</v>
      </c>
      <c r="F164" s="2" t="s">
        <v>19</v>
      </c>
      <c r="G164" s="2" t="n">
        <v>2010</v>
      </c>
      <c r="H164" s="3" t="n">
        <v>15746</v>
      </c>
      <c r="I164" s="3" t="n">
        <v>502.4</v>
      </c>
      <c r="J164" s="3" t="n">
        <v>15243.6</v>
      </c>
      <c r="K164" s="3" t="n">
        <v>142.8</v>
      </c>
      <c r="L164" s="4" t="n">
        <v>0.9068969897</v>
      </c>
      <c r="M164" s="3" t="n">
        <v>15603.2</v>
      </c>
      <c r="N164" s="4" t="n">
        <v>99.09310301</v>
      </c>
      <c r="O164" s="9" t="n">
        <f aca="false">$C$5-G164</f>
        <v>16</v>
      </c>
      <c r="P164" s="3" t="n">
        <f aca="false">H164/O164</f>
        <v>984.125</v>
      </c>
      <c r="Q164" s="2" t="str">
        <f aca="false">IF(G164&lt;2010,"Legacy (pre-2010)",IF(G164&lt;=2017,"Established (2010-2017)","Emerging (2018+)"))</f>
        <v>Established (2010-2017)</v>
      </c>
    </row>
    <row r="165" customFormat="false" ht="15" hidden="false" customHeight="false" outlineLevel="0" collapsed="false">
      <c r="A165" s="2" t="s">
        <v>221</v>
      </c>
      <c r="B165" s="2" t="s">
        <v>21</v>
      </c>
      <c r="C165" s="2" t="s">
        <v>72</v>
      </c>
      <c r="D165" s="2" t="s">
        <v>73</v>
      </c>
      <c r="E165" s="2" t="s">
        <v>74</v>
      </c>
      <c r="F165" s="2" t="s">
        <v>19</v>
      </c>
      <c r="G165" s="2" t="n">
        <v>2002</v>
      </c>
      <c r="H165" s="3" t="n">
        <v>15723</v>
      </c>
      <c r="I165" s="3" t="n">
        <v>2035.3</v>
      </c>
      <c r="J165" s="3" t="n">
        <v>13703.9</v>
      </c>
      <c r="K165" s="3" t="n">
        <v>690.5</v>
      </c>
      <c r="L165" s="4" t="n">
        <v>4.391655536</v>
      </c>
      <c r="M165" s="3" t="n">
        <v>15032.5</v>
      </c>
      <c r="N165" s="4" t="n">
        <v>95.60834446</v>
      </c>
      <c r="O165" s="9" t="n">
        <f aca="false">$C$5-G165</f>
        <v>24</v>
      </c>
      <c r="P165" s="3" t="n">
        <f aca="false">H165/O165</f>
        <v>655.125</v>
      </c>
      <c r="Q165" s="2" t="str">
        <f aca="false">IF(G165&lt;2010,"Legacy (pre-2010)",IF(G165&lt;=2017,"Established (2010-2017)","Emerging (2018+)"))</f>
        <v>Legacy (pre-2010)</v>
      </c>
    </row>
    <row r="166" customFormat="false" ht="15" hidden="false" customHeight="false" outlineLevel="0" collapsed="false">
      <c r="A166" s="2" t="s">
        <v>222</v>
      </c>
      <c r="B166" s="2" t="s">
        <v>15</v>
      </c>
      <c r="C166" s="2" t="s">
        <v>223</v>
      </c>
      <c r="D166" s="2" t="s">
        <v>25</v>
      </c>
      <c r="E166" s="2" t="s">
        <v>18</v>
      </c>
      <c r="F166" s="2" t="s">
        <v>19</v>
      </c>
      <c r="G166" s="2" t="n">
        <v>2016</v>
      </c>
      <c r="H166" s="3" t="n">
        <v>15684.7</v>
      </c>
      <c r="I166" s="3" t="n">
        <v>7885.7</v>
      </c>
      <c r="J166" s="3" t="n">
        <v>7799</v>
      </c>
      <c r="K166" s="3" t="n">
        <v>3430.6</v>
      </c>
      <c r="L166" s="4" t="n">
        <v>21.87227043</v>
      </c>
      <c r="M166" s="3" t="n">
        <v>12254.1</v>
      </c>
      <c r="N166" s="4" t="n">
        <v>78.12772957</v>
      </c>
      <c r="O166" s="9" t="n">
        <f aca="false">$C$5-G166</f>
        <v>10</v>
      </c>
      <c r="P166" s="3" t="n">
        <f aca="false">H166/O166</f>
        <v>1568.47</v>
      </c>
      <c r="Q166" s="2" t="str">
        <f aca="false">IF(G166&lt;2010,"Legacy (pre-2010)",IF(G166&lt;=2017,"Established (2010-2017)","Emerging (2018+)"))</f>
        <v>Established (2010-2017)</v>
      </c>
    </row>
    <row r="167" customFormat="false" ht="15" hidden="false" customHeight="false" outlineLevel="0" collapsed="false">
      <c r="A167" s="2" t="s">
        <v>224</v>
      </c>
      <c r="B167" s="2" t="s">
        <v>15</v>
      </c>
      <c r="C167" s="2" t="s">
        <v>223</v>
      </c>
      <c r="D167" s="2" t="s">
        <v>25</v>
      </c>
      <c r="E167" s="2" t="s">
        <v>83</v>
      </c>
      <c r="F167" s="2" t="s">
        <v>19</v>
      </c>
      <c r="G167" s="2" t="n">
        <v>2017</v>
      </c>
      <c r="H167" s="3" t="n">
        <v>15638.8</v>
      </c>
      <c r="I167" s="3" t="n">
        <v>13216.1</v>
      </c>
      <c r="J167" s="3" t="n">
        <v>2427.2</v>
      </c>
      <c r="K167" s="3" t="n">
        <v>84.5</v>
      </c>
      <c r="L167" s="4" t="n">
        <v>0.5403227869</v>
      </c>
      <c r="M167" s="3" t="n">
        <v>15554.3</v>
      </c>
      <c r="N167" s="4" t="n">
        <v>99.45967721</v>
      </c>
      <c r="O167" s="9" t="n">
        <f aca="false">$C$5-G167</f>
        <v>9</v>
      </c>
      <c r="P167" s="3" t="n">
        <f aca="false">H167/O167</f>
        <v>1737.64444444444</v>
      </c>
      <c r="Q167" s="2" t="str">
        <f aca="false">IF(G167&lt;2010,"Legacy (pre-2010)",IF(G167&lt;=2017,"Established (2010-2017)","Emerging (2018+)"))</f>
        <v>Established (2010-2017)</v>
      </c>
    </row>
    <row r="168" customFormat="false" ht="15" hidden="false" customHeight="false" outlineLevel="0" collapsed="false">
      <c r="A168" s="2" t="s">
        <v>225</v>
      </c>
      <c r="B168" s="2" t="s">
        <v>15</v>
      </c>
      <c r="C168" s="2" t="s">
        <v>22</v>
      </c>
      <c r="D168" s="2" t="s">
        <v>17</v>
      </c>
      <c r="E168" s="2" t="s">
        <v>18</v>
      </c>
      <c r="F168" s="2" t="s">
        <v>49</v>
      </c>
      <c r="G168" s="2" t="n">
        <v>2013</v>
      </c>
      <c r="H168" s="3" t="n">
        <v>15562.1</v>
      </c>
      <c r="I168" s="3" t="n">
        <v>13694</v>
      </c>
      <c r="J168" s="3" t="n">
        <v>1874.1</v>
      </c>
      <c r="K168" s="3" t="n">
        <v>4814.9</v>
      </c>
      <c r="L168" s="4" t="n">
        <v>30.93991171</v>
      </c>
      <c r="M168" s="3" t="n">
        <v>10747.2</v>
      </c>
      <c r="N168" s="4" t="n">
        <v>69.06008829</v>
      </c>
      <c r="O168" s="9" t="n">
        <f aca="false">$C$5-G168</f>
        <v>13</v>
      </c>
      <c r="P168" s="3" t="n">
        <f aca="false">H168/O168</f>
        <v>1197.08461538462</v>
      </c>
      <c r="Q168" s="2" t="str">
        <f aca="false">IF(G168&lt;2010,"Legacy (pre-2010)",IF(G168&lt;=2017,"Established (2010-2017)","Emerging (2018+)"))</f>
        <v>Established (2010-2017)</v>
      </c>
    </row>
    <row r="169" customFormat="false" ht="15" hidden="false" customHeight="false" outlineLevel="0" collapsed="false">
      <c r="A169" s="2" t="s">
        <v>226</v>
      </c>
      <c r="B169" s="2" t="s">
        <v>15</v>
      </c>
      <c r="C169" s="2" t="s">
        <v>95</v>
      </c>
      <c r="D169" s="2" t="s">
        <v>17</v>
      </c>
      <c r="E169" s="2" t="s">
        <v>18</v>
      </c>
      <c r="F169" s="2" t="s">
        <v>19</v>
      </c>
      <c r="G169" s="2" t="n">
        <v>2018</v>
      </c>
      <c r="H169" s="3" t="n">
        <v>15561.7</v>
      </c>
      <c r="I169" s="3" t="n">
        <v>10487.9</v>
      </c>
      <c r="J169" s="3" t="n">
        <v>5077.6</v>
      </c>
      <c r="K169" s="3" t="n">
        <v>6776.1</v>
      </c>
      <c r="L169" s="4" t="n">
        <v>43.5434432</v>
      </c>
      <c r="M169" s="3" t="n">
        <v>8785.6</v>
      </c>
      <c r="N169" s="4" t="n">
        <v>56.4565568</v>
      </c>
      <c r="O169" s="9" t="n">
        <f aca="false">$C$5-G169</f>
        <v>8</v>
      </c>
      <c r="P169" s="3" t="n">
        <f aca="false">H169/O169</f>
        <v>1945.2125</v>
      </c>
      <c r="Q169" s="2" t="str">
        <f aca="false">IF(G169&lt;2010,"Legacy (pre-2010)",IF(G169&lt;=2017,"Established (2010-2017)","Emerging (2018+)"))</f>
        <v>Emerging (2018+)</v>
      </c>
    </row>
    <row r="170" customFormat="false" ht="15" hidden="false" customHeight="false" outlineLevel="0" collapsed="false">
      <c r="A170" s="2" t="s">
        <v>227</v>
      </c>
      <c r="B170" s="2" t="s">
        <v>21</v>
      </c>
      <c r="C170" s="2" t="s">
        <v>167</v>
      </c>
      <c r="D170" s="2" t="s">
        <v>168</v>
      </c>
      <c r="E170" s="2" t="s">
        <v>169</v>
      </c>
      <c r="F170" s="2" t="s">
        <v>19</v>
      </c>
      <c r="G170" s="2" t="n">
        <v>2011</v>
      </c>
      <c r="H170" s="3" t="n">
        <v>15528.2</v>
      </c>
      <c r="I170" s="3" t="n">
        <v>7743.7</v>
      </c>
      <c r="J170" s="3" t="n">
        <v>7783.6</v>
      </c>
      <c r="K170" s="3" t="n">
        <v>7736.5</v>
      </c>
      <c r="L170" s="4" t="n">
        <v>49.82225886</v>
      </c>
      <c r="M170" s="3" t="n">
        <v>7791.7</v>
      </c>
      <c r="N170" s="4" t="n">
        <v>50.17774114</v>
      </c>
      <c r="O170" s="9" t="n">
        <f aca="false">$C$5-G170</f>
        <v>15</v>
      </c>
      <c r="P170" s="3" t="n">
        <f aca="false">H170/O170</f>
        <v>1035.21333333333</v>
      </c>
      <c r="Q170" s="2" t="str">
        <f aca="false">IF(G170&lt;2010,"Legacy (pre-2010)",IF(G170&lt;=2017,"Established (2010-2017)","Emerging (2018+)"))</f>
        <v>Established (2010-2017)</v>
      </c>
    </row>
    <row r="171" customFormat="false" ht="15" hidden="false" customHeight="false" outlineLevel="0" collapsed="false">
      <c r="A171" s="2" t="s">
        <v>228</v>
      </c>
      <c r="B171" s="2" t="s">
        <v>21</v>
      </c>
      <c r="C171" s="2" t="s">
        <v>167</v>
      </c>
      <c r="D171" s="2" t="s">
        <v>168</v>
      </c>
      <c r="E171" s="2" t="s">
        <v>23</v>
      </c>
      <c r="F171" s="2" t="s">
        <v>19</v>
      </c>
      <c r="G171" s="2" t="n">
        <v>2012</v>
      </c>
      <c r="H171" s="3" t="n">
        <v>15525.6</v>
      </c>
      <c r="I171" s="3" t="n">
        <v>11131.7</v>
      </c>
      <c r="J171" s="3" t="n">
        <v>4374.8</v>
      </c>
      <c r="K171" s="3" t="n">
        <v>3212</v>
      </c>
      <c r="L171" s="4" t="n">
        <v>20.6884114</v>
      </c>
      <c r="M171" s="3" t="n">
        <v>12313.6</v>
      </c>
      <c r="N171" s="4" t="n">
        <v>79.3115886</v>
      </c>
      <c r="O171" s="9" t="n">
        <f aca="false">$C$5-G171</f>
        <v>14</v>
      </c>
      <c r="P171" s="3" t="n">
        <f aca="false">H171/O171</f>
        <v>1108.97142857143</v>
      </c>
      <c r="Q171" s="2" t="str">
        <f aca="false">IF(G171&lt;2010,"Legacy (pre-2010)",IF(G171&lt;=2017,"Established (2010-2017)","Emerging (2018+)"))</f>
        <v>Established (2010-2017)</v>
      </c>
    </row>
    <row r="172" customFormat="false" ht="15" hidden="false" customHeight="false" outlineLevel="0" collapsed="false">
      <c r="A172" s="2" t="s">
        <v>229</v>
      </c>
      <c r="B172" s="2" t="s">
        <v>15</v>
      </c>
      <c r="C172" s="2" t="s">
        <v>22</v>
      </c>
      <c r="D172" s="2" t="s">
        <v>17</v>
      </c>
      <c r="E172" s="2" t="s">
        <v>52</v>
      </c>
      <c r="F172" s="2" t="s">
        <v>49</v>
      </c>
      <c r="G172" s="2" t="n">
        <v>1990</v>
      </c>
      <c r="H172" s="3" t="n">
        <v>15453.3</v>
      </c>
      <c r="I172" s="3" t="n">
        <v>15342.6</v>
      </c>
      <c r="J172" s="3" t="n">
        <v>118.3</v>
      </c>
      <c r="K172" s="3" t="n">
        <v>15333.7</v>
      </c>
      <c r="L172" s="4" t="n">
        <v>99.22605528</v>
      </c>
      <c r="M172" s="3" t="n">
        <v>119.6</v>
      </c>
      <c r="N172" s="4" t="n">
        <v>0.7739447238</v>
      </c>
      <c r="O172" s="9" t="n">
        <f aca="false">$C$5-G172</f>
        <v>36</v>
      </c>
      <c r="P172" s="3" t="n">
        <f aca="false">H172/O172</f>
        <v>429.258333333333</v>
      </c>
      <c r="Q172" s="2" t="str">
        <f aca="false">IF(G172&lt;2010,"Legacy (pre-2010)",IF(G172&lt;=2017,"Established (2010-2017)","Emerging (2018+)"))</f>
        <v>Legacy (pre-2010)</v>
      </c>
    </row>
    <row r="173" customFormat="false" ht="15" hidden="false" customHeight="false" outlineLevel="0" collapsed="false">
      <c r="A173" s="2" t="s">
        <v>230</v>
      </c>
      <c r="B173" s="2" t="s">
        <v>15</v>
      </c>
      <c r="C173" s="2" t="s">
        <v>22</v>
      </c>
      <c r="D173" s="2" t="s">
        <v>17</v>
      </c>
      <c r="E173" s="2" t="s">
        <v>18</v>
      </c>
      <c r="F173" s="2" t="s">
        <v>19</v>
      </c>
      <c r="G173" s="2" t="n">
        <v>2011</v>
      </c>
      <c r="H173" s="3" t="n">
        <v>15329.4</v>
      </c>
      <c r="I173" s="3" t="n">
        <v>6848.7</v>
      </c>
      <c r="J173" s="3" t="n">
        <v>8480.7</v>
      </c>
      <c r="K173" s="3" t="n">
        <v>2898.8</v>
      </c>
      <c r="L173" s="4" t="n">
        <v>18.91006823</v>
      </c>
      <c r="M173" s="3" t="n">
        <v>12430.6</v>
      </c>
      <c r="N173" s="4" t="n">
        <v>81.08993177</v>
      </c>
      <c r="O173" s="9" t="n">
        <f aca="false">$C$5-G173</f>
        <v>15</v>
      </c>
      <c r="P173" s="3" t="n">
        <f aca="false">H173/O173</f>
        <v>1021.96</v>
      </c>
      <c r="Q173" s="2" t="str">
        <f aca="false">IF(G173&lt;2010,"Legacy (pre-2010)",IF(G173&lt;=2017,"Established (2010-2017)","Emerging (2018+)"))</f>
        <v>Established (2010-2017)</v>
      </c>
    </row>
    <row r="174" customFormat="false" ht="15" hidden="false" customHeight="false" outlineLevel="0" collapsed="false">
      <c r="A174" s="2" t="s">
        <v>231</v>
      </c>
      <c r="B174" s="2" t="s">
        <v>15</v>
      </c>
      <c r="C174" s="2" t="s">
        <v>22</v>
      </c>
      <c r="D174" s="2" t="s">
        <v>17</v>
      </c>
      <c r="E174" s="2" t="s">
        <v>18</v>
      </c>
      <c r="F174" s="2" t="s">
        <v>19</v>
      </c>
      <c r="G174" s="2" t="n">
        <v>2017</v>
      </c>
      <c r="H174" s="3" t="n">
        <v>15252.2</v>
      </c>
      <c r="I174" s="3" t="n">
        <v>13192.5</v>
      </c>
      <c r="J174" s="3" t="n">
        <v>2067.1</v>
      </c>
      <c r="K174" s="3" t="n">
        <v>7139.4</v>
      </c>
      <c r="L174" s="4" t="n">
        <v>46.80898493</v>
      </c>
      <c r="M174" s="3" t="n">
        <v>8112.8</v>
      </c>
      <c r="N174" s="4" t="n">
        <v>53.19101507</v>
      </c>
      <c r="O174" s="9" t="n">
        <f aca="false">$C$5-G174</f>
        <v>9</v>
      </c>
      <c r="P174" s="3" t="n">
        <f aca="false">H174/O174</f>
        <v>1694.68888888889</v>
      </c>
      <c r="Q174" s="2" t="str">
        <f aca="false">IF(G174&lt;2010,"Legacy (pre-2010)",IF(G174&lt;=2017,"Established (2010-2017)","Emerging (2018+)"))</f>
        <v>Established (2010-2017)</v>
      </c>
    </row>
    <row r="175" customFormat="false" ht="15" hidden="false" customHeight="false" outlineLevel="0" collapsed="false">
      <c r="A175" s="2" t="s">
        <v>232</v>
      </c>
      <c r="B175" s="2" t="s">
        <v>15</v>
      </c>
      <c r="C175" s="2" t="s">
        <v>72</v>
      </c>
      <c r="D175" s="2" t="s">
        <v>233</v>
      </c>
      <c r="E175" s="2" t="s">
        <v>74</v>
      </c>
      <c r="F175" s="2" t="s">
        <v>19</v>
      </c>
      <c r="G175" s="2" t="n">
        <v>1992</v>
      </c>
      <c r="H175" s="3" t="n">
        <v>15240.4</v>
      </c>
      <c r="I175" s="3" t="n">
        <v>10857.5</v>
      </c>
      <c r="J175" s="3" t="n">
        <v>4397.5</v>
      </c>
      <c r="K175" s="3" t="n">
        <v>594.9</v>
      </c>
      <c r="L175" s="4" t="n">
        <v>3.903440855</v>
      </c>
      <c r="M175" s="3" t="n">
        <v>14645.5</v>
      </c>
      <c r="N175" s="4" t="n">
        <v>96.09655915</v>
      </c>
      <c r="O175" s="9" t="n">
        <f aca="false">$C$5-G175</f>
        <v>34</v>
      </c>
      <c r="P175" s="3" t="n">
        <f aca="false">H175/O175</f>
        <v>448.247058823529</v>
      </c>
      <c r="Q175" s="2" t="str">
        <f aca="false">IF(G175&lt;2010,"Legacy (pre-2010)",IF(G175&lt;=2017,"Established (2010-2017)","Emerging (2018+)"))</f>
        <v>Legacy (pre-2010)</v>
      </c>
    </row>
    <row r="176" customFormat="false" ht="15" hidden="false" customHeight="false" outlineLevel="0" collapsed="false">
      <c r="A176" s="2" t="s">
        <v>234</v>
      </c>
      <c r="B176" s="2" t="s">
        <v>15</v>
      </c>
      <c r="C176" s="2" t="s">
        <v>22</v>
      </c>
      <c r="D176" s="2" t="s">
        <v>17</v>
      </c>
      <c r="E176" s="2" t="s">
        <v>18</v>
      </c>
      <c r="F176" s="2" t="s">
        <v>19</v>
      </c>
      <c r="G176" s="2" t="n">
        <v>2006</v>
      </c>
      <c r="H176" s="3" t="n">
        <v>15133</v>
      </c>
      <c r="I176" s="3" t="n">
        <v>11606.5</v>
      </c>
      <c r="J176" s="3" t="n">
        <v>3518.6</v>
      </c>
      <c r="K176" s="3" t="n">
        <v>1928.5</v>
      </c>
      <c r="L176" s="4" t="n">
        <v>12.74367277</v>
      </c>
      <c r="M176" s="3" t="n">
        <v>13204.5</v>
      </c>
      <c r="N176" s="4" t="n">
        <v>87.25632723</v>
      </c>
      <c r="O176" s="9" t="n">
        <f aca="false">$C$5-G176</f>
        <v>20</v>
      </c>
      <c r="P176" s="3" t="n">
        <f aca="false">H176/O176</f>
        <v>756.65</v>
      </c>
      <c r="Q176" s="2" t="str">
        <f aca="false">IF(G176&lt;2010,"Legacy (pre-2010)",IF(G176&lt;=2017,"Established (2010-2017)","Emerging (2018+)"))</f>
        <v>Legacy (pre-2010)</v>
      </c>
    </row>
    <row r="177" customFormat="false" ht="15" hidden="false" customHeight="false" outlineLevel="0" collapsed="false">
      <c r="A177" s="2" t="s">
        <v>235</v>
      </c>
      <c r="B177" s="2" t="s">
        <v>15</v>
      </c>
      <c r="C177" s="2" t="s">
        <v>22</v>
      </c>
      <c r="D177" s="2" t="s">
        <v>17</v>
      </c>
      <c r="E177" s="2" t="s">
        <v>18</v>
      </c>
      <c r="F177" s="2" t="s">
        <v>19</v>
      </c>
      <c r="G177" s="2" t="n">
        <v>2008</v>
      </c>
      <c r="H177" s="3" t="n">
        <v>15086.8</v>
      </c>
      <c r="I177" s="3" t="n">
        <v>10607.6</v>
      </c>
      <c r="J177" s="3" t="n">
        <v>4483.9</v>
      </c>
      <c r="K177" s="3" t="n">
        <v>5835.1</v>
      </c>
      <c r="L177" s="4" t="n">
        <v>38.67685659</v>
      </c>
      <c r="M177" s="3" t="n">
        <v>9251.7</v>
      </c>
      <c r="N177" s="4" t="n">
        <v>61.32314341</v>
      </c>
      <c r="O177" s="9" t="n">
        <f aca="false">$C$5-G177</f>
        <v>18</v>
      </c>
      <c r="P177" s="3" t="n">
        <f aca="false">H177/O177</f>
        <v>838.155555555556</v>
      </c>
      <c r="Q177" s="2" t="str">
        <f aca="false">IF(G177&lt;2010,"Legacy (pre-2010)",IF(G177&lt;=2017,"Established (2010-2017)","Emerging (2018+)"))</f>
        <v>Legacy (pre-2010)</v>
      </c>
    </row>
    <row r="178" customFormat="false" ht="15" hidden="false" customHeight="false" outlineLevel="0" collapsed="false">
      <c r="A178" s="2" t="s">
        <v>236</v>
      </c>
      <c r="B178" s="2" t="s">
        <v>15</v>
      </c>
      <c r="C178" s="2" t="s">
        <v>22</v>
      </c>
      <c r="D178" s="2" t="s">
        <v>25</v>
      </c>
      <c r="E178" s="2" t="s">
        <v>26</v>
      </c>
      <c r="F178" s="2" t="s">
        <v>19</v>
      </c>
      <c r="G178" s="2" t="n">
        <v>2010</v>
      </c>
      <c r="H178" s="3" t="n">
        <v>15041.1</v>
      </c>
      <c r="I178" s="3" t="n">
        <v>4978.9</v>
      </c>
      <c r="J178" s="3" t="n">
        <v>10062.1</v>
      </c>
      <c r="K178" s="3" t="n">
        <v>2069.9</v>
      </c>
      <c r="L178" s="4" t="n">
        <v>13.76162648</v>
      </c>
      <c r="M178" s="3" t="n">
        <v>12971.2</v>
      </c>
      <c r="N178" s="4" t="n">
        <v>86.23837352</v>
      </c>
      <c r="O178" s="9" t="n">
        <f aca="false">$C$5-G178</f>
        <v>16</v>
      </c>
      <c r="P178" s="3" t="n">
        <f aca="false">H178/O178</f>
        <v>940.06875</v>
      </c>
      <c r="Q178" s="2" t="str">
        <f aca="false">IF(G178&lt;2010,"Legacy (pre-2010)",IF(G178&lt;=2017,"Established (2010-2017)","Emerging (2018+)"))</f>
        <v>Established (2010-2017)</v>
      </c>
    </row>
    <row r="179" customFormat="false" ht="15" hidden="false" customHeight="false" outlineLevel="0" collapsed="false">
      <c r="A179" s="2" t="s">
        <v>237</v>
      </c>
      <c r="B179" s="2" t="s">
        <v>15</v>
      </c>
      <c r="C179" s="2" t="s">
        <v>184</v>
      </c>
      <c r="D179" s="2" t="s">
        <v>17</v>
      </c>
      <c r="E179" s="2" t="s">
        <v>185</v>
      </c>
      <c r="F179" s="2" t="s">
        <v>49</v>
      </c>
      <c r="G179" s="2" t="n">
        <v>1962</v>
      </c>
      <c r="H179" s="3" t="n">
        <v>14992.7</v>
      </c>
      <c r="I179" s="3" t="n">
        <v>14837.1</v>
      </c>
      <c r="J179" s="3" t="n">
        <v>161.6</v>
      </c>
      <c r="K179" s="3" t="n">
        <v>13836</v>
      </c>
      <c r="L179" s="4" t="n">
        <v>92.28491199</v>
      </c>
      <c r="M179" s="3" t="n">
        <v>1156.7</v>
      </c>
      <c r="N179" s="4" t="n">
        <v>7.715088009</v>
      </c>
      <c r="O179" s="9" t="n">
        <f aca="false">$C$5-G179</f>
        <v>64</v>
      </c>
      <c r="P179" s="3" t="n">
        <f aca="false">H179/O179</f>
        <v>234.2609375</v>
      </c>
      <c r="Q179" s="2" t="str">
        <f aca="false">IF(G179&lt;2010,"Legacy (pre-2010)",IF(G179&lt;=2017,"Established (2010-2017)","Emerging (2018+)"))</f>
        <v>Legacy (pre-2010)</v>
      </c>
    </row>
    <row r="180" customFormat="false" ht="15" hidden="false" customHeight="false" outlineLevel="0" collapsed="false">
      <c r="A180" s="2" t="s">
        <v>238</v>
      </c>
      <c r="B180" s="2" t="s">
        <v>15</v>
      </c>
      <c r="C180" s="2" t="s">
        <v>46</v>
      </c>
      <c r="D180" s="2" t="s">
        <v>47</v>
      </c>
      <c r="E180" s="2" t="s">
        <v>48</v>
      </c>
      <c r="F180" s="2" t="s">
        <v>49</v>
      </c>
      <c r="G180" s="2" t="n">
        <v>2018</v>
      </c>
      <c r="H180" s="3" t="n">
        <v>14947.4</v>
      </c>
      <c r="I180" s="3" t="n">
        <v>14819</v>
      </c>
      <c r="J180" s="3" t="n">
        <v>136.5</v>
      </c>
      <c r="K180" s="3" t="n">
        <v>13482.3</v>
      </c>
      <c r="L180" s="4" t="n">
        <v>90.19829536</v>
      </c>
      <c r="M180" s="3" t="n">
        <v>1465.1</v>
      </c>
      <c r="N180" s="4" t="n">
        <v>9.801704644</v>
      </c>
      <c r="O180" s="9" t="n">
        <f aca="false">$C$5-G180</f>
        <v>8</v>
      </c>
      <c r="P180" s="3" t="n">
        <f aca="false">H180/O180</f>
        <v>1868.425</v>
      </c>
      <c r="Q180" s="2" t="str">
        <f aca="false">IF(G180&lt;2010,"Legacy (pre-2010)",IF(G180&lt;=2017,"Established (2010-2017)","Emerging (2018+)"))</f>
        <v>Emerging (2018+)</v>
      </c>
    </row>
    <row r="181" customFormat="false" ht="15" hidden="false" customHeight="false" outlineLevel="0" collapsed="false">
      <c r="A181" s="2" t="s">
        <v>239</v>
      </c>
      <c r="B181" s="2" t="s">
        <v>15</v>
      </c>
      <c r="C181" s="2" t="s">
        <v>72</v>
      </c>
      <c r="D181" s="2" t="s">
        <v>233</v>
      </c>
      <c r="E181" s="2" t="s">
        <v>74</v>
      </c>
      <c r="F181" s="2" t="s">
        <v>19</v>
      </c>
      <c r="G181" s="2" t="n">
        <v>2012</v>
      </c>
      <c r="H181" s="3" t="n">
        <v>14897.8</v>
      </c>
      <c r="I181" s="3" t="n">
        <v>12456.5</v>
      </c>
      <c r="J181" s="3" t="n">
        <v>2450</v>
      </c>
      <c r="K181" s="3" t="n">
        <v>1543.3</v>
      </c>
      <c r="L181" s="4" t="n">
        <v>10.35924767</v>
      </c>
      <c r="M181" s="3" t="n">
        <v>13354.5</v>
      </c>
      <c r="N181" s="4" t="n">
        <v>89.64075233</v>
      </c>
      <c r="O181" s="9" t="n">
        <f aca="false">$C$5-G181</f>
        <v>14</v>
      </c>
      <c r="P181" s="3" t="n">
        <f aca="false">H181/O181</f>
        <v>1064.12857142857</v>
      </c>
      <c r="Q181" s="2" t="str">
        <f aca="false">IF(G181&lt;2010,"Legacy (pre-2010)",IF(G181&lt;=2017,"Established (2010-2017)","Emerging (2018+)"))</f>
        <v>Established (2010-2017)</v>
      </c>
    </row>
    <row r="182" customFormat="false" ht="15" hidden="false" customHeight="false" outlineLevel="0" collapsed="false">
      <c r="A182" s="2" t="s">
        <v>240</v>
      </c>
      <c r="B182" s="2" t="s">
        <v>15</v>
      </c>
      <c r="C182" s="2" t="s">
        <v>22</v>
      </c>
      <c r="D182" s="2" t="s">
        <v>17</v>
      </c>
      <c r="E182" s="2" t="s">
        <v>28</v>
      </c>
      <c r="F182" s="2" t="s">
        <v>19</v>
      </c>
      <c r="G182" s="2" t="n">
        <v>2006</v>
      </c>
      <c r="H182" s="3" t="n">
        <v>14888.6</v>
      </c>
      <c r="I182" s="3" t="n">
        <v>8808.5</v>
      </c>
      <c r="J182" s="3" t="n">
        <v>6090.2</v>
      </c>
      <c r="K182" s="3" t="n">
        <v>8012</v>
      </c>
      <c r="L182" s="4" t="n">
        <v>53.81298443</v>
      </c>
      <c r="M182" s="3" t="n">
        <v>6876.6</v>
      </c>
      <c r="N182" s="4" t="n">
        <v>46.18701557</v>
      </c>
      <c r="O182" s="9" t="n">
        <f aca="false">$C$5-G182</f>
        <v>20</v>
      </c>
      <c r="P182" s="3" t="n">
        <f aca="false">H182/O182</f>
        <v>744.43</v>
      </c>
      <c r="Q182" s="2" t="str">
        <f aca="false">IF(G182&lt;2010,"Legacy (pre-2010)",IF(G182&lt;=2017,"Established (2010-2017)","Emerging (2018+)"))</f>
        <v>Legacy (pre-2010)</v>
      </c>
    </row>
    <row r="183" customFormat="false" ht="15" hidden="false" customHeight="false" outlineLevel="0" collapsed="false">
      <c r="A183" s="2" t="s">
        <v>241</v>
      </c>
      <c r="B183" s="2" t="s">
        <v>15</v>
      </c>
      <c r="C183" s="2" t="s">
        <v>22</v>
      </c>
      <c r="D183" s="2" t="s">
        <v>17</v>
      </c>
      <c r="E183" s="2" t="s">
        <v>18</v>
      </c>
      <c r="F183" s="2" t="s">
        <v>19</v>
      </c>
      <c r="G183" s="2" t="n">
        <v>2005</v>
      </c>
      <c r="H183" s="3" t="n">
        <v>14880.2</v>
      </c>
      <c r="I183" s="3" t="n">
        <v>7106.1</v>
      </c>
      <c r="J183" s="3" t="n">
        <v>7779.1</v>
      </c>
      <c r="K183" s="3" t="n">
        <v>1618.8</v>
      </c>
      <c r="L183" s="4" t="n">
        <v>10.87888604</v>
      </c>
      <c r="M183" s="3" t="n">
        <v>13261.4</v>
      </c>
      <c r="N183" s="4" t="n">
        <v>89.12111396</v>
      </c>
      <c r="O183" s="9" t="n">
        <f aca="false">$C$5-G183</f>
        <v>21</v>
      </c>
      <c r="P183" s="3" t="n">
        <f aca="false">H183/O183</f>
        <v>708.580952380953</v>
      </c>
      <c r="Q183" s="2" t="str">
        <f aca="false">IF(G183&lt;2010,"Legacy (pre-2010)",IF(G183&lt;=2017,"Established (2010-2017)","Emerging (2018+)"))</f>
        <v>Legacy (pre-2010)</v>
      </c>
    </row>
    <row r="184" customFormat="false" ht="15" hidden="false" customHeight="false" outlineLevel="0" collapsed="false">
      <c r="A184" s="2" t="s">
        <v>242</v>
      </c>
      <c r="B184" s="2" t="s">
        <v>21</v>
      </c>
      <c r="C184" s="2" t="s">
        <v>243</v>
      </c>
      <c r="D184" s="2" t="s">
        <v>25</v>
      </c>
      <c r="E184" s="2" t="s">
        <v>23</v>
      </c>
      <c r="F184" s="2" t="s">
        <v>19</v>
      </c>
      <c r="G184" s="2" t="n">
        <v>2016</v>
      </c>
      <c r="H184" s="3" t="n">
        <v>14558.4</v>
      </c>
      <c r="I184" s="3" t="n">
        <v>10084</v>
      </c>
      <c r="J184" s="3" t="n">
        <v>4479.1</v>
      </c>
      <c r="K184" s="3" t="n">
        <v>5316.8</v>
      </c>
      <c r="L184" s="4" t="n">
        <v>36.52049676</v>
      </c>
      <c r="M184" s="3" t="n">
        <v>9241.6</v>
      </c>
      <c r="N184" s="4" t="n">
        <v>63.47950324</v>
      </c>
      <c r="O184" s="9" t="n">
        <f aca="false">$C$5-G184</f>
        <v>10</v>
      </c>
      <c r="P184" s="3" t="n">
        <f aca="false">H184/O184</f>
        <v>1455.84</v>
      </c>
      <c r="Q184" s="2" t="str">
        <f aca="false">IF(G184&lt;2010,"Legacy (pre-2010)",IF(G184&lt;=2017,"Established (2010-2017)","Emerging (2018+)"))</f>
        <v>Established (2010-2017)</v>
      </c>
    </row>
    <row r="185" customFormat="false" ht="15" hidden="false" customHeight="false" outlineLevel="0" collapsed="false">
      <c r="A185" s="2" t="s">
        <v>244</v>
      </c>
      <c r="B185" s="2" t="s">
        <v>21</v>
      </c>
      <c r="C185" s="2" t="s">
        <v>34</v>
      </c>
      <c r="D185" s="2" t="s">
        <v>17</v>
      </c>
      <c r="E185" s="2" t="s">
        <v>23</v>
      </c>
      <c r="F185" s="2" t="s">
        <v>19</v>
      </c>
      <c r="G185" s="2" t="n">
        <v>2008</v>
      </c>
      <c r="H185" s="3" t="n">
        <v>14544.4</v>
      </c>
      <c r="I185" s="3" t="n">
        <v>10175.3</v>
      </c>
      <c r="J185" s="3" t="n">
        <v>4376</v>
      </c>
      <c r="K185" s="3" t="n">
        <v>6747.8</v>
      </c>
      <c r="L185" s="4" t="n">
        <v>46.3944886</v>
      </c>
      <c r="M185" s="3" t="n">
        <v>7796.6</v>
      </c>
      <c r="N185" s="4" t="n">
        <v>53.6055114</v>
      </c>
      <c r="O185" s="9" t="n">
        <f aca="false">$C$5-G185</f>
        <v>18</v>
      </c>
      <c r="P185" s="3" t="n">
        <f aca="false">H185/O185</f>
        <v>808.022222222222</v>
      </c>
      <c r="Q185" s="2" t="str">
        <f aca="false">IF(G185&lt;2010,"Legacy (pre-2010)",IF(G185&lt;=2017,"Established (2010-2017)","Emerging (2018+)"))</f>
        <v>Legacy (pre-2010)</v>
      </c>
    </row>
    <row r="186" customFormat="false" ht="15" hidden="false" customHeight="false" outlineLevel="0" collapsed="false">
      <c r="A186" s="2" t="s">
        <v>245</v>
      </c>
      <c r="B186" s="2" t="s">
        <v>15</v>
      </c>
      <c r="C186" s="2" t="s">
        <v>246</v>
      </c>
      <c r="D186" s="2" t="s">
        <v>17</v>
      </c>
      <c r="E186" s="2" t="s">
        <v>28</v>
      </c>
      <c r="F186" s="2" t="s">
        <v>19</v>
      </c>
      <c r="G186" s="2" t="n">
        <v>2017</v>
      </c>
      <c r="H186" s="3" t="n">
        <v>14512.1</v>
      </c>
      <c r="I186" s="3" t="n">
        <v>13579.3</v>
      </c>
      <c r="J186" s="3" t="n">
        <v>938.4</v>
      </c>
      <c r="K186" s="3" t="n">
        <v>12111.7</v>
      </c>
      <c r="L186" s="4" t="n">
        <v>83.45932015</v>
      </c>
      <c r="M186" s="3" t="n">
        <v>2400.4</v>
      </c>
      <c r="N186" s="4" t="n">
        <v>16.54067985</v>
      </c>
      <c r="O186" s="9" t="n">
        <f aca="false">$C$5-G186</f>
        <v>9</v>
      </c>
      <c r="P186" s="3" t="n">
        <f aca="false">H186/O186</f>
        <v>1612.45555555556</v>
      </c>
      <c r="Q186" s="2" t="str">
        <f aca="false">IF(G186&lt;2010,"Legacy (pre-2010)",IF(G186&lt;=2017,"Established (2010-2017)","Emerging (2018+)"))</f>
        <v>Established (2010-2017)</v>
      </c>
    </row>
    <row r="187" customFormat="false" ht="15" hidden="false" customHeight="false" outlineLevel="0" collapsed="false">
      <c r="A187" s="2" t="s">
        <v>247</v>
      </c>
      <c r="B187" s="2" t="s">
        <v>15</v>
      </c>
      <c r="C187" s="2" t="s">
        <v>22</v>
      </c>
      <c r="D187" s="2" t="s">
        <v>17</v>
      </c>
      <c r="E187" s="2" t="s">
        <v>52</v>
      </c>
      <c r="F187" s="2" t="s">
        <v>49</v>
      </c>
      <c r="G187" s="2" t="n">
        <v>2003</v>
      </c>
      <c r="H187" s="3" t="n">
        <v>14507.7</v>
      </c>
      <c r="I187" s="3" t="n">
        <v>10717.2</v>
      </c>
      <c r="J187" s="3" t="n">
        <v>3796.5</v>
      </c>
      <c r="K187" s="3" t="n">
        <v>12380.2</v>
      </c>
      <c r="L187" s="4" t="n">
        <v>85.33537363</v>
      </c>
      <c r="M187" s="3" t="n">
        <v>2127.5</v>
      </c>
      <c r="N187" s="4" t="n">
        <v>14.66462637</v>
      </c>
      <c r="O187" s="9" t="n">
        <f aca="false">$C$5-G187</f>
        <v>23</v>
      </c>
      <c r="P187" s="3" t="n">
        <f aca="false">H187/O187</f>
        <v>630.769565217391</v>
      </c>
      <c r="Q187" s="2" t="str">
        <f aca="false">IF(G187&lt;2010,"Legacy (pre-2010)",IF(G187&lt;=2017,"Established (2010-2017)","Emerging (2018+)"))</f>
        <v>Legacy (pre-2010)</v>
      </c>
    </row>
    <row r="188" customFormat="false" ht="15" hidden="false" customHeight="false" outlineLevel="0" collapsed="false">
      <c r="A188" s="2" t="s">
        <v>248</v>
      </c>
      <c r="B188" s="2" t="s">
        <v>15</v>
      </c>
      <c r="C188" s="2" t="s">
        <v>16</v>
      </c>
      <c r="D188" s="2" t="s">
        <v>17</v>
      </c>
      <c r="E188" s="2" t="s">
        <v>28</v>
      </c>
      <c r="F188" s="2" t="s">
        <v>19</v>
      </c>
      <c r="G188" s="2" t="n">
        <v>2013</v>
      </c>
      <c r="H188" s="3" t="n">
        <v>14506.3</v>
      </c>
      <c r="I188" s="3" t="n">
        <v>13237.2</v>
      </c>
      <c r="J188" s="3" t="n">
        <v>1275</v>
      </c>
      <c r="K188" s="3" t="n">
        <v>7177.2</v>
      </c>
      <c r="L188" s="4" t="n">
        <v>49.47643438</v>
      </c>
      <c r="M188" s="3" t="n">
        <v>7329.1</v>
      </c>
      <c r="N188" s="4" t="n">
        <v>50.52356562</v>
      </c>
      <c r="O188" s="9" t="n">
        <f aca="false">$C$5-G188</f>
        <v>13</v>
      </c>
      <c r="P188" s="3" t="n">
        <f aca="false">H188/O188</f>
        <v>1115.86923076923</v>
      </c>
      <c r="Q188" s="2" t="str">
        <f aca="false">IF(G188&lt;2010,"Legacy (pre-2010)",IF(G188&lt;=2017,"Established (2010-2017)","Emerging (2018+)"))</f>
        <v>Established (2010-2017)</v>
      </c>
    </row>
    <row r="189" customFormat="false" ht="15" hidden="false" customHeight="false" outlineLevel="0" collapsed="false">
      <c r="A189" s="2" t="s">
        <v>249</v>
      </c>
      <c r="B189" s="2" t="s">
        <v>15</v>
      </c>
      <c r="C189" s="2" t="s">
        <v>167</v>
      </c>
      <c r="D189" s="2" t="s">
        <v>168</v>
      </c>
      <c r="E189" s="2" t="s">
        <v>169</v>
      </c>
      <c r="F189" s="2" t="s">
        <v>49</v>
      </c>
      <c r="G189" s="2" t="n">
        <v>2007</v>
      </c>
      <c r="H189" s="3" t="n">
        <v>14404.4</v>
      </c>
      <c r="I189" s="3" t="n">
        <v>11024</v>
      </c>
      <c r="J189" s="3" t="n">
        <v>3391.4</v>
      </c>
      <c r="K189" s="3" t="n">
        <v>10484.4</v>
      </c>
      <c r="L189" s="4" t="n">
        <v>72.78609314</v>
      </c>
      <c r="M189" s="3" t="n">
        <v>3920</v>
      </c>
      <c r="N189" s="4" t="n">
        <v>27.21390686</v>
      </c>
      <c r="O189" s="9" t="n">
        <f aca="false">$C$5-G189</f>
        <v>19</v>
      </c>
      <c r="P189" s="3" t="n">
        <f aca="false">H189/O189</f>
        <v>758.126315789474</v>
      </c>
      <c r="Q189" s="2" t="str">
        <f aca="false">IF(G189&lt;2010,"Legacy (pre-2010)",IF(G189&lt;=2017,"Established (2010-2017)","Emerging (2018+)"))</f>
        <v>Legacy (pre-2010)</v>
      </c>
    </row>
    <row r="190" customFormat="false" ht="15" hidden="false" customHeight="false" outlineLevel="0" collapsed="false">
      <c r="A190" s="2" t="s">
        <v>250</v>
      </c>
      <c r="B190" s="2" t="s">
        <v>15</v>
      </c>
      <c r="C190" s="2" t="s">
        <v>22</v>
      </c>
      <c r="D190" s="2" t="s">
        <v>17</v>
      </c>
      <c r="E190" s="2" t="s">
        <v>18</v>
      </c>
      <c r="F190" s="2" t="s">
        <v>19</v>
      </c>
      <c r="G190" s="2" t="n">
        <v>2015</v>
      </c>
      <c r="H190" s="3" t="n">
        <v>14402.6</v>
      </c>
      <c r="I190" s="3" t="n">
        <v>13416.1</v>
      </c>
      <c r="J190" s="3" t="n">
        <v>990</v>
      </c>
      <c r="K190" s="3" t="n">
        <v>791.1</v>
      </c>
      <c r="L190" s="4" t="n">
        <v>5.492758252</v>
      </c>
      <c r="M190" s="3" t="n">
        <v>13611.5</v>
      </c>
      <c r="N190" s="4" t="n">
        <v>94.50724175</v>
      </c>
      <c r="O190" s="9" t="n">
        <f aca="false">$C$5-G190</f>
        <v>11</v>
      </c>
      <c r="P190" s="3" t="n">
        <f aca="false">H190/O190</f>
        <v>1309.32727272727</v>
      </c>
      <c r="Q190" s="2" t="str">
        <f aca="false">IF(G190&lt;2010,"Legacy (pre-2010)",IF(G190&lt;=2017,"Established (2010-2017)","Emerging (2018+)"))</f>
        <v>Established (2010-2017)</v>
      </c>
    </row>
    <row r="191" customFormat="false" ht="15" hidden="false" customHeight="false" outlineLevel="0" collapsed="false">
      <c r="A191" s="2" t="s">
        <v>251</v>
      </c>
      <c r="B191" s="2" t="s">
        <v>15</v>
      </c>
      <c r="C191" s="2" t="s">
        <v>22</v>
      </c>
      <c r="D191" s="2" t="s">
        <v>17</v>
      </c>
      <c r="E191" s="2" t="s">
        <v>52</v>
      </c>
      <c r="F191" s="2" t="s">
        <v>49</v>
      </c>
      <c r="G191" s="2" t="n">
        <v>2005</v>
      </c>
      <c r="H191" s="3" t="n">
        <v>14402.3</v>
      </c>
      <c r="I191" s="3" t="n">
        <v>4417.2</v>
      </c>
      <c r="J191" s="3" t="n">
        <v>9988.5</v>
      </c>
      <c r="K191" s="3" t="n">
        <v>13038</v>
      </c>
      <c r="L191" s="4" t="n">
        <v>90.52720746</v>
      </c>
      <c r="M191" s="3" t="n">
        <v>1364.3</v>
      </c>
      <c r="N191" s="4" t="n">
        <v>9.47279254</v>
      </c>
      <c r="O191" s="9" t="n">
        <f aca="false">$C$5-G191</f>
        <v>21</v>
      </c>
      <c r="P191" s="3" t="n">
        <f aca="false">H191/O191</f>
        <v>685.82380952381</v>
      </c>
      <c r="Q191" s="2" t="str">
        <f aca="false">IF(G191&lt;2010,"Legacy (pre-2010)",IF(G191&lt;=2017,"Established (2010-2017)","Emerging (2018+)"))</f>
        <v>Legacy (pre-2010)</v>
      </c>
    </row>
    <row r="192" customFormat="false" ht="15" hidden="false" customHeight="false" outlineLevel="0" collapsed="false">
      <c r="A192" s="2" t="s">
        <v>252</v>
      </c>
      <c r="B192" s="2" t="s">
        <v>15</v>
      </c>
      <c r="C192" s="2" t="s">
        <v>95</v>
      </c>
      <c r="D192" s="2" t="s">
        <v>17</v>
      </c>
      <c r="E192" s="2" t="s">
        <v>52</v>
      </c>
      <c r="F192" s="2" t="s">
        <v>19</v>
      </c>
      <c r="G192" s="2" t="n">
        <v>2008</v>
      </c>
      <c r="H192" s="3" t="n">
        <v>14387.1</v>
      </c>
      <c r="I192" s="3" t="n">
        <v>13232.8</v>
      </c>
      <c r="J192" s="3" t="n">
        <v>1165.4</v>
      </c>
      <c r="K192" s="3" t="n">
        <v>12678.8</v>
      </c>
      <c r="L192" s="4" t="n">
        <v>88.12616858</v>
      </c>
      <c r="M192" s="3" t="n">
        <v>1708.3</v>
      </c>
      <c r="N192" s="4" t="n">
        <v>11.87383142</v>
      </c>
      <c r="O192" s="9" t="n">
        <f aca="false">$C$5-G192</f>
        <v>18</v>
      </c>
      <c r="P192" s="3" t="n">
        <f aca="false">H192/O192</f>
        <v>799.283333333333</v>
      </c>
      <c r="Q192" s="2" t="str">
        <f aca="false">IF(G192&lt;2010,"Legacy (pre-2010)",IF(G192&lt;=2017,"Established (2010-2017)","Emerging (2018+)"))</f>
        <v>Legacy (pre-2010)</v>
      </c>
    </row>
    <row r="193" customFormat="false" ht="15" hidden="false" customHeight="false" outlineLevel="0" collapsed="false">
      <c r="A193" s="2" t="s">
        <v>253</v>
      </c>
      <c r="B193" s="2" t="s">
        <v>15</v>
      </c>
      <c r="C193" s="2" t="s">
        <v>243</v>
      </c>
      <c r="D193" s="2" t="s">
        <v>25</v>
      </c>
      <c r="E193" s="2" t="s">
        <v>26</v>
      </c>
      <c r="F193" s="2" t="s">
        <v>19</v>
      </c>
      <c r="G193" s="2" t="n">
        <v>2020</v>
      </c>
      <c r="H193" s="3" t="n">
        <v>14345.2</v>
      </c>
      <c r="I193" s="3" t="n">
        <v>7659.9</v>
      </c>
      <c r="J193" s="3" t="n">
        <v>6698.1</v>
      </c>
      <c r="K193" s="3" t="n">
        <v>4914.9</v>
      </c>
      <c r="L193" s="4" t="n">
        <v>34.26163455</v>
      </c>
      <c r="M193" s="3" t="n">
        <v>9430.3</v>
      </c>
      <c r="N193" s="4" t="n">
        <v>65.73836545</v>
      </c>
      <c r="O193" s="9" t="n">
        <f aca="false">$C$5-G193</f>
        <v>6</v>
      </c>
      <c r="P193" s="3" t="n">
        <f aca="false">H193/O193</f>
        <v>2390.86666666667</v>
      </c>
      <c r="Q193" s="2" t="str">
        <f aca="false">IF(G193&lt;2010,"Legacy (pre-2010)",IF(G193&lt;=2017,"Established (2010-2017)","Emerging (2018+)"))</f>
        <v>Emerging (2018+)</v>
      </c>
    </row>
    <row r="194" customFormat="false" ht="15" hidden="false" customHeight="false" outlineLevel="0" collapsed="false">
      <c r="A194" s="2" t="s">
        <v>254</v>
      </c>
      <c r="B194" s="2" t="s">
        <v>15</v>
      </c>
      <c r="C194" s="2" t="s">
        <v>43</v>
      </c>
      <c r="D194" s="2" t="s">
        <v>25</v>
      </c>
      <c r="E194" s="2" t="s">
        <v>83</v>
      </c>
      <c r="F194" s="2" t="s">
        <v>49</v>
      </c>
      <c r="G194" s="2" t="n">
        <v>2015</v>
      </c>
      <c r="H194" s="3" t="n">
        <v>14293.7</v>
      </c>
      <c r="I194" s="3" t="n">
        <v>11695.5</v>
      </c>
      <c r="J194" s="3" t="n">
        <v>2609</v>
      </c>
      <c r="K194" s="3" t="n">
        <v>8588.9</v>
      </c>
      <c r="L194" s="4" t="n">
        <v>60.08871041</v>
      </c>
      <c r="M194" s="3" t="n">
        <v>5704.8</v>
      </c>
      <c r="N194" s="4" t="n">
        <v>39.91128959</v>
      </c>
      <c r="O194" s="9" t="n">
        <f aca="false">$C$5-G194</f>
        <v>11</v>
      </c>
      <c r="P194" s="3" t="n">
        <f aca="false">H194/O194</f>
        <v>1299.42727272727</v>
      </c>
      <c r="Q194" s="2" t="str">
        <f aca="false">IF(G194&lt;2010,"Legacy (pre-2010)",IF(G194&lt;=2017,"Established (2010-2017)","Emerging (2018+)"))</f>
        <v>Established (2010-2017)</v>
      </c>
    </row>
    <row r="195" customFormat="false" ht="15" hidden="false" customHeight="false" outlineLevel="0" collapsed="false">
      <c r="A195" s="2" t="s">
        <v>255</v>
      </c>
      <c r="B195" s="2" t="s">
        <v>21</v>
      </c>
      <c r="C195" s="2" t="s">
        <v>148</v>
      </c>
      <c r="D195" s="2" t="s">
        <v>17</v>
      </c>
      <c r="E195" s="2" t="s">
        <v>23</v>
      </c>
      <c r="F195" s="2" t="s">
        <v>19</v>
      </c>
      <c r="G195" s="2" t="n">
        <v>2008</v>
      </c>
      <c r="H195" s="3" t="n">
        <v>14221.3</v>
      </c>
      <c r="I195" s="3" t="n">
        <v>9372.1</v>
      </c>
      <c r="J195" s="3" t="n">
        <v>4858.7</v>
      </c>
      <c r="K195" s="3" t="n">
        <v>7138.3</v>
      </c>
      <c r="L195" s="4" t="n">
        <v>50.19442667</v>
      </c>
      <c r="M195" s="3" t="n">
        <v>7083</v>
      </c>
      <c r="N195" s="4" t="n">
        <v>49.80557333</v>
      </c>
      <c r="O195" s="9" t="n">
        <f aca="false">$C$5-G195</f>
        <v>18</v>
      </c>
      <c r="P195" s="3" t="n">
        <f aca="false">H195/O195</f>
        <v>790.072222222222</v>
      </c>
      <c r="Q195" s="2" t="str">
        <f aca="false">IF(G195&lt;2010,"Legacy (pre-2010)",IF(G195&lt;=2017,"Established (2010-2017)","Emerging (2018+)"))</f>
        <v>Legacy (pre-2010)</v>
      </c>
    </row>
    <row r="196" customFormat="false" ht="15" hidden="false" customHeight="false" outlineLevel="0" collapsed="false">
      <c r="A196" s="2" t="s">
        <v>256</v>
      </c>
      <c r="B196" s="2" t="s">
        <v>15</v>
      </c>
      <c r="C196" s="2" t="s">
        <v>90</v>
      </c>
      <c r="D196" s="2" t="s">
        <v>25</v>
      </c>
      <c r="E196" s="2" t="s">
        <v>91</v>
      </c>
      <c r="F196" s="2" t="s">
        <v>19</v>
      </c>
      <c r="G196" s="2" t="n">
        <v>2023</v>
      </c>
      <c r="H196" s="3" t="n">
        <v>14166.6</v>
      </c>
      <c r="I196" s="3" t="n">
        <v>7969.4</v>
      </c>
      <c r="J196" s="3" t="n">
        <v>6215.6</v>
      </c>
      <c r="K196" s="3" t="n">
        <v>3646.4</v>
      </c>
      <c r="L196" s="4" t="n">
        <v>25.73941524</v>
      </c>
      <c r="M196" s="3" t="n">
        <v>10520.2</v>
      </c>
      <c r="N196" s="4" t="n">
        <v>74.26058476</v>
      </c>
      <c r="O196" s="9" t="n">
        <f aca="false">$C$5-G196</f>
        <v>3</v>
      </c>
      <c r="P196" s="3" t="n">
        <f aca="false">H196/O196</f>
        <v>4722.2</v>
      </c>
      <c r="Q196" s="2" t="str">
        <f aca="false">IF(G196&lt;2010,"Legacy (pre-2010)",IF(G196&lt;=2017,"Established (2010-2017)","Emerging (2018+)"))</f>
        <v>Emerging (2018+)</v>
      </c>
    </row>
    <row r="197" customFormat="false" ht="15" hidden="false" customHeight="false" outlineLevel="0" collapsed="false">
      <c r="A197" s="2" t="s">
        <v>257</v>
      </c>
      <c r="B197" s="2" t="s">
        <v>15</v>
      </c>
      <c r="C197" s="2" t="s">
        <v>60</v>
      </c>
      <c r="D197" s="2" t="s">
        <v>258</v>
      </c>
      <c r="E197" s="2" t="s">
        <v>18</v>
      </c>
      <c r="F197" s="2" t="s">
        <v>19</v>
      </c>
      <c r="G197" s="2" t="n">
        <v>2013</v>
      </c>
      <c r="H197" s="3" t="n">
        <v>14127.8</v>
      </c>
      <c r="I197" s="3" t="n">
        <v>11142.3</v>
      </c>
      <c r="J197" s="3" t="n">
        <v>2993.2</v>
      </c>
      <c r="K197" s="3" t="n">
        <v>8903.2</v>
      </c>
      <c r="L197" s="4" t="n">
        <v>63.01901216</v>
      </c>
      <c r="M197" s="3" t="n">
        <v>5224.6</v>
      </c>
      <c r="N197" s="4" t="n">
        <v>36.98098784</v>
      </c>
      <c r="O197" s="9" t="n">
        <f aca="false">$C$5-G197</f>
        <v>13</v>
      </c>
      <c r="P197" s="3" t="n">
        <f aca="false">H197/O197</f>
        <v>1086.75384615385</v>
      </c>
      <c r="Q197" s="2" t="str">
        <f aca="false">IF(G197&lt;2010,"Legacy (pre-2010)",IF(G197&lt;=2017,"Established (2010-2017)","Emerging (2018+)"))</f>
        <v>Established (2010-2017)</v>
      </c>
    </row>
    <row r="198" customFormat="false" ht="15" hidden="false" customHeight="false" outlineLevel="0" collapsed="false">
      <c r="A198" s="2" t="s">
        <v>259</v>
      </c>
      <c r="B198" s="2" t="s">
        <v>15</v>
      </c>
      <c r="C198" s="2" t="s">
        <v>22</v>
      </c>
      <c r="D198" s="2" t="s">
        <v>17</v>
      </c>
      <c r="E198" s="2" t="s">
        <v>18</v>
      </c>
      <c r="F198" s="2" t="s">
        <v>19</v>
      </c>
      <c r="G198" s="2" t="n">
        <v>1991</v>
      </c>
      <c r="H198" s="3" t="n">
        <v>14116.7</v>
      </c>
      <c r="I198" s="3" t="n">
        <v>13659.9</v>
      </c>
      <c r="J198" s="3" t="n">
        <v>462.4</v>
      </c>
      <c r="K198" s="3" t="n">
        <v>5423.2</v>
      </c>
      <c r="L198" s="4" t="n">
        <v>38.41691047</v>
      </c>
      <c r="M198" s="3" t="n">
        <v>8693.5</v>
      </c>
      <c r="N198" s="4" t="n">
        <v>61.58308953</v>
      </c>
      <c r="O198" s="9" t="n">
        <f aca="false">$C$5-G198</f>
        <v>35</v>
      </c>
      <c r="P198" s="3" t="n">
        <f aca="false">H198/O198</f>
        <v>403.334285714286</v>
      </c>
      <c r="Q198" s="2" t="str">
        <f aca="false">IF(G198&lt;2010,"Legacy (pre-2010)",IF(G198&lt;=2017,"Established (2010-2017)","Emerging (2018+)"))</f>
        <v>Legacy (pre-2010)</v>
      </c>
    </row>
    <row r="199" customFormat="false" ht="15" hidden="false" customHeight="false" outlineLevel="0" collapsed="false">
      <c r="A199" s="2" t="s">
        <v>260</v>
      </c>
      <c r="B199" s="2" t="s">
        <v>15</v>
      </c>
      <c r="C199" s="2" t="s">
        <v>34</v>
      </c>
      <c r="D199" s="2" t="s">
        <v>17</v>
      </c>
      <c r="E199" s="2" t="s">
        <v>58</v>
      </c>
      <c r="F199" s="2" t="s">
        <v>49</v>
      </c>
      <c r="G199" s="2" t="n">
        <v>2001</v>
      </c>
      <c r="H199" s="3" t="n">
        <v>14104.4</v>
      </c>
      <c r="I199" s="3" t="n">
        <v>14087.5</v>
      </c>
      <c r="J199" s="3" t="n">
        <v>23.4</v>
      </c>
      <c r="K199" s="3" t="n">
        <v>3963.9</v>
      </c>
      <c r="L199" s="4" t="n">
        <v>28.10399592</v>
      </c>
      <c r="M199" s="3" t="n">
        <v>10140.5</v>
      </c>
      <c r="N199" s="4" t="n">
        <v>71.89600408</v>
      </c>
      <c r="O199" s="9" t="n">
        <f aca="false">$C$5-G199</f>
        <v>25</v>
      </c>
      <c r="P199" s="3" t="n">
        <f aca="false">H199/O199</f>
        <v>564.176</v>
      </c>
      <c r="Q199" s="2" t="str">
        <f aca="false">IF(G199&lt;2010,"Legacy (pre-2010)",IF(G199&lt;=2017,"Established (2010-2017)","Emerging (2018+)"))</f>
        <v>Legacy (pre-2010)</v>
      </c>
    </row>
    <row r="200" customFormat="false" ht="15" hidden="false" customHeight="false" outlineLevel="0" collapsed="false">
      <c r="A200" s="2" t="s">
        <v>261</v>
      </c>
      <c r="B200" s="2" t="s">
        <v>15</v>
      </c>
      <c r="C200" s="2" t="s">
        <v>86</v>
      </c>
      <c r="D200" s="2" t="s">
        <v>17</v>
      </c>
      <c r="E200" s="2" t="s">
        <v>23</v>
      </c>
      <c r="F200" s="2" t="s">
        <v>19</v>
      </c>
      <c r="G200" s="2" t="n">
        <v>2017</v>
      </c>
      <c r="H200" s="3" t="n">
        <v>14087.8</v>
      </c>
      <c r="I200" s="3" t="n">
        <v>14091.2</v>
      </c>
      <c r="J200" s="3" t="n">
        <v>0</v>
      </c>
      <c r="K200" s="3" t="n">
        <v>13608.5</v>
      </c>
      <c r="L200" s="4" t="n">
        <v>96.59776544</v>
      </c>
      <c r="M200" s="3" t="n">
        <v>479.3</v>
      </c>
      <c r="N200" s="4" t="n">
        <v>3.402234558</v>
      </c>
      <c r="O200" s="9" t="n">
        <f aca="false">$C$5-G200</f>
        <v>9</v>
      </c>
      <c r="P200" s="3" t="n">
        <f aca="false">H200/O200</f>
        <v>1565.31111111111</v>
      </c>
      <c r="Q200" s="2" t="str">
        <f aca="false">IF(G200&lt;2010,"Legacy (pre-2010)",IF(G200&lt;=2017,"Established (2010-2017)","Emerging (2018+)"))</f>
        <v>Established (2010-2017)</v>
      </c>
    </row>
    <row r="201" customFormat="false" ht="15" hidden="false" customHeight="false" outlineLevel="0" collapsed="false">
      <c r="A201" s="2" t="s">
        <v>262</v>
      </c>
      <c r="B201" s="2" t="s">
        <v>15</v>
      </c>
      <c r="C201" s="2" t="s">
        <v>22</v>
      </c>
      <c r="D201" s="2" t="s">
        <v>25</v>
      </c>
      <c r="E201" s="2" t="s">
        <v>91</v>
      </c>
      <c r="F201" s="2" t="s">
        <v>49</v>
      </c>
      <c r="G201" s="2" t="n">
        <v>2022</v>
      </c>
      <c r="H201" s="3" t="n">
        <v>13999.3</v>
      </c>
      <c r="I201" s="3" t="n">
        <v>8094.6</v>
      </c>
      <c r="J201" s="3" t="n">
        <v>5914.6</v>
      </c>
      <c r="K201" s="3" t="n">
        <v>2001.5</v>
      </c>
      <c r="L201" s="4" t="n">
        <v>14.29714343</v>
      </c>
      <c r="M201" s="3" t="n">
        <v>11997.8</v>
      </c>
      <c r="N201" s="4" t="n">
        <v>85.70285657</v>
      </c>
      <c r="O201" s="9" t="n">
        <f aca="false">$C$5-G201</f>
        <v>4</v>
      </c>
      <c r="P201" s="3" t="n">
        <f aca="false">H201/O201</f>
        <v>3499.825</v>
      </c>
      <c r="Q201" s="2" t="str">
        <f aca="false">IF(G201&lt;2010,"Legacy (pre-2010)",IF(G201&lt;=2017,"Established (2010-2017)","Emerging (2018+)"))</f>
        <v>Emerging (2018+)</v>
      </c>
    </row>
    <row r="202" customFormat="false" ht="15" hidden="false" customHeight="false" outlineLevel="0" collapsed="false">
      <c r="A202" s="2" t="s">
        <v>263</v>
      </c>
      <c r="B202" s="2" t="s">
        <v>15</v>
      </c>
      <c r="C202" s="2" t="s">
        <v>43</v>
      </c>
      <c r="D202" s="2" t="s">
        <v>25</v>
      </c>
      <c r="E202" s="2" t="s">
        <v>23</v>
      </c>
      <c r="F202" s="2" t="s">
        <v>19</v>
      </c>
      <c r="G202" s="2" t="n">
        <v>2007</v>
      </c>
      <c r="H202" s="3" t="n">
        <v>13994.1</v>
      </c>
      <c r="I202" s="3" t="n">
        <v>8290.1</v>
      </c>
      <c r="J202" s="3" t="n">
        <v>5703.9</v>
      </c>
      <c r="K202" s="3" t="n">
        <v>3475.3</v>
      </c>
      <c r="L202" s="4" t="n">
        <v>24.8340372</v>
      </c>
      <c r="M202" s="3" t="n">
        <v>10518.8</v>
      </c>
      <c r="N202" s="4" t="n">
        <v>75.1659628</v>
      </c>
      <c r="O202" s="9" t="n">
        <f aca="false">$C$5-G202</f>
        <v>19</v>
      </c>
      <c r="P202" s="3" t="n">
        <f aca="false">H202/O202</f>
        <v>736.531578947368</v>
      </c>
      <c r="Q202" s="2" t="str">
        <f aca="false">IF(G202&lt;2010,"Legacy (pre-2010)",IF(G202&lt;=2017,"Established (2010-2017)","Emerging (2018+)"))</f>
        <v>Legacy (pre-2010)</v>
      </c>
    </row>
    <row r="203" customFormat="false" ht="15" hidden="false" customHeight="false" outlineLevel="0" collapsed="false">
      <c r="A203" s="2" t="s">
        <v>264</v>
      </c>
      <c r="B203" s="2" t="s">
        <v>15</v>
      </c>
      <c r="C203" s="2" t="s">
        <v>22</v>
      </c>
      <c r="D203" s="2" t="s">
        <v>25</v>
      </c>
      <c r="E203" s="2" t="s">
        <v>26</v>
      </c>
      <c r="F203" s="2" t="s">
        <v>19</v>
      </c>
      <c r="G203" s="2" t="n">
        <v>2009</v>
      </c>
      <c r="H203" s="3" t="n">
        <v>13994</v>
      </c>
      <c r="I203" s="3" t="n">
        <v>944.9</v>
      </c>
      <c r="J203" s="3" t="n">
        <v>13049.1</v>
      </c>
      <c r="K203" s="3" t="n">
        <v>136</v>
      </c>
      <c r="L203" s="4" t="n">
        <v>0.9718450765</v>
      </c>
      <c r="M203" s="3" t="n">
        <v>13858</v>
      </c>
      <c r="N203" s="4" t="n">
        <v>99.02815492</v>
      </c>
      <c r="O203" s="9" t="n">
        <f aca="false">$C$5-G203</f>
        <v>17</v>
      </c>
      <c r="P203" s="3" t="n">
        <f aca="false">H203/O203</f>
        <v>823.176470588235</v>
      </c>
      <c r="Q203" s="2" t="str">
        <f aca="false">IF(G203&lt;2010,"Legacy (pre-2010)",IF(G203&lt;=2017,"Established (2010-2017)","Emerging (2018+)"))</f>
        <v>Legacy (pre-2010)</v>
      </c>
    </row>
    <row r="204" customFormat="false" ht="15" hidden="false" customHeight="false" outlineLevel="0" collapsed="false">
      <c r="A204" s="2" t="s">
        <v>265</v>
      </c>
      <c r="B204" s="2" t="s">
        <v>15</v>
      </c>
      <c r="C204" s="2" t="s">
        <v>22</v>
      </c>
      <c r="D204" s="2" t="s">
        <v>17</v>
      </c>
      <c r="E204" s="2" t="s">
        <v>18</v>
      </c>
      <c r="F204" s="2" t="s">
        <v>19</v>
      </c>
      <c r="G204" s="2" t="n">
        <v>2007</v>
      </c>
      <c r="H204" s="3" t="n">
        <v>13978.6</v>
      </c>
      <c r="I204" s="3" t="n">
        <v>4090.4</v>
      </c>
      <c r="J204" s="3" t="n">
        <v>9888.1</v>
      </c>
      <c r="K204" s="3" t="n">
        <v>895.7</v>
      </c>
      <c r="L204" s="4" t="n">
        <v>6.407651696</v>
      </c>
      <c r="M204" s="3" t="n">
        <v>13082.9</v>
      </c>
      <c r="N204" s="4" t="n">
        <v>93.5923483</v>
      </c>
      <c r="O204" s="9" t="n">
        <f aca="false">$C$5-G204</f>
        <v>19</v>
      </c>
      <c r="P204" s="3" t="n">
        <f aca="false">H204/O204</f>
        <v>735.715789473684</v>
      </c>
      <c r="Q204" s="2" t="str">
        <f aca="false">IF(G204&lt;2010,"Legacy (pre-2010)",IF(G204&lt;=2017,"Established (2010-2017)","Emerging (2018+)"))</f>
        <v>Legacy (pre-2010)</v>
      </c>
    </row>
    <row r="205" customFormat="false" ht="15" hidden="false" customHeight="false" outlineLevel="0" collapsed="false">
      <c r="A205" s="2" t="s">
        <v>266</v>
      </c>
      <c r="B205" s="2" t="s">
        <v>15</v>
      </c>
      <c r="C205" s="2" t="s">
        <v>22</v>
      </c>
      <c r="D205" s="2" t="s">
        <v>17</v>
      </c>
      <c r="E205" s="2" t="s">
        <v>18</v>
      </c>
      <c r="F205" s="2" t="s">
        <v>19</v>
      </c>
      <c r="G205" s="2" t="n">
        <v>2010</v>
      </c>
      <c r="H205" s="3" t="n">
        <v>13891.9</v>
      </c>
      <c r="I205" s="3" t="n">
        <v>9309.2</v>
      </c>
      <c r="J205" s="3" t="n">
        <v>4586.6</v>
      </c>
      <c r="K205" s="3" t="n">
        <v>12293.1</v>
      </c>
      <c r="L205" s="4" t="n">
        <v>88.49113512</v>
      </c>
      <c r="M205" s="3" t="n">
        <v>1598.8</v>
      </c>
      <c r="N205" s="4" t="n">
        <v>11.50886488</v>
      </c>
      <c r="O205" s="9" t="n">
        <f aca="false">$C$5-G205</f>
        <v>16</v>
      </c>
      <c r="P205" s="3" t="n">
        <f aca="false">H205/O205</f>
        <v>868.24375</v>
      </c>
      <c r="Q205" s="2" t="str">
        <f aca="false">IF(G205&lt;2010,"Legacy (pre-2010)",IF(G205&lt;=2017,"Established (2010-2017)","Emerging (2018+)"))</f>
        <v>Established (2010-2017)</v>
      </c>
    </row>
    <row r="206" customFormat="false" ht="15" hidden="false" customHeight="false" outlineLevel="0" collapsed="false">
      <c r="A206" s="2" t="s">
        <v>267</v>
      </c>
      <c r="B206" s="2" t="s">
        <v>15</v>
      </c>
      <c r="C206" s="2" t="s">
        <v>22</v>
      </c>
      <c r="D206" s="2" t="s">
        <v>17</v>
      </c>
      <c r="E206" s="2" t="s">
        <v>28</v>
      </c>
      <c r="F206" s="2" t="s">
        <v>19</v>
      </c>
      <c r="G206" s="2" t="n">
        <v>2011</v>
      </c>
      <c r="H206" s="3" t="n">
        <v>13890.6</v>
      </c>
      <c r="I206" s="3" t="n">
        <v>13739.5</v>
      </c>
      <c r="J206" s="3" t="n">
        <v>155.6</v>
      </c>
      <c r="K206" s="3" t="n">
        <v>8915.5</v>
      </c>
      <c r="L206" s="4" t="n">
        <v>64.18369257</v>
      </c>
      <c r="M206" s="3" t="n">
        <v>4975.1</v>
      </c>
      <c r="N206" s="4" t="n">
        <v>35.81630743</v>
      </c>
      <c r="O206" s="9" t="n">
        <f aca="false">$C$5-G206</f>
        <v>15</v>
      </c>
      <c r="P206" s="3" t="n">
        <f aca="false">H206/O206</f>
        <v>926.04</v>
      </c>
      <c r="Q206" s="2" t="str">
        <f aca="false">IF(G206&lt;2010,"Legacy (pre-2010)",IF(G206&lt;=2017,"Established (2010-2017)","Emerging (2018+)"))</f>
        <v>Established (2010-2017)</v>
      </c>
    </row>
    <row r="207" customFormat="false" ht="15" hidden="false" customHeight="false" outlineLevel="0" collapsed="false">
      <c r="A207" s="2" t="s">
        <v>268</v>
      </c>
      <c r="B207" s="2" t="s">
        <v>15</v>
      </c>
      <c r="C207" s="2" t="s">
        <v>243</v>
      </c>
      <c r="D207" s="2" t="s">
        <v>25</v>
      </c>
      <c r="E207" s="2" t="s">
        <v>18</v>
      </c>
      <c r="F207" s="2" t="s">
        <v>19</v>
      </c>
      <c r="G207" s="2" t="n">
        <v>2014</v>
      </c>
      <c r="H207" s="3" t="n">
        <v>13734.1</v>
      </c>
      <c r="I207" s="3" t="n">
        <v>11278.9</v>
      </c>
      <c r="J207" s="3" t="n">
        <v>2462</v>
      </c>
      <c r="K207" s="3" t="n">
        <v>8953.7</v>
      </c>
      <c r="L207" s="4" t="n">
        <v>65.19320523</v>
      </c>
      <c r="M207" s="3" t="n">
        <v>4780.4</v>
      </c>
      <c r="N207" s="4" t="n">
        <v>34.80679477</v>
      </c>
      <c r="O207" s="9" t="n">
        <f aca="false">$C$5-G207</f>
        <v>12</v>
      </c>
      <c r="P207" s="3" t="n">
        <f aca="false">H207/O207</f>
        <v>1144.50833333333</v>
      </c>
      <c r="Q207" s="2" t="str">
        <f aca="false">IF(G207&lt;2010,"Legacy (pre-2010)",IF(G207&lt;=2017,"Established (2010-2017)","Emerging (2018+)"))</f>
        <v>Established (2010-2017)</v>
      </c>
    </row>
    <row r="208" customFormat="false" ht="15" hidden="false" customHeight="false" outlineLevel="0" collapsed="false">
      <c r="A208" s="2" t="s">
        <v>269</v>
      </c>
      <c r="B208" s="2" t="s">
        <v>15</v>
      </c>
      <c r="C208" s="2" t="s">
        <v>22</v>
      </c>
      <c r="D208" s="2" t="s">
        <v>17</v>
      </c>
      <c r="E208" s="2" t="s">
        <v>18</v>
      </c>
      <c r="F208" s="2" t="s">
        <v>19</v>
      </c>
      <c r="G208" s="2" t="n">
        <v>2017</v>
      </c>
      <c r="H208" s="3" t="n">
        <v>13692</v>
      </c>
      <c r="I208" s="3" t="n">
        <v>6665</v>
      </c>
      <c r="J208" s="3" t="n">
        <v>7030</v>
      </c>
      <c r="K208" s="3" t="n">
        <v>4971.3</v>
      </c>
      <c r="L208" s="4" t="n">
        <v>36.3080631</v>
      </c>
      <c r="M208" s="3" t="n">
        <v>8720.7</v>
      </c>
      <c r="N208" s="4" t="n">
        <v>63.6919369</v>
      </c>
      <c r="O208" s="9" t="n">
        <f aca="false">$C$5-G208</f>
        <v>9</v>
      </c>
      <c r="P208" s="3" t="n">
        <f aca="false">H208/O208</f>
        <v>1521.33333333333</v>
      </c>
      <c r="Q208" s="2" t="str">
        <f aca="false">IF(G208&lt;2010,"Legacy (pre-2010)",IF(G208&lt;=2017,"Established (2010-2017)","Emerging (2018+)"))</f>
        <v>Established (2010-2017)</v>
      </c>
    </row>
    <row r="209" customFormat="false" ht="15" hidden="false" customHeight="false" outlineLevel="0" collapsed="false">
      <c r="A209" s="2" t="s">
        <v>270</v>
      </c>
      <c r="B209" s="2" t="s">
        <v>15</v>
      </c>
      <c r="C209" s="2" t="s">
        <v>22</v>
      </c>
      <c r="D209" s="2" t="s">
        <v>17</v>
      </c>
      <c r="E209" s="2" t="s">
        <v>52</v>
      </c>
      <c r="F209" s="2" t="s">
        <v>49</v>
      </c>
      <c r="G209" s="2" t="n">
        <v>1985</v>
      </c>
      <c r="H209" s="3" t="n">
        <v>13683</v>
      </c>
      <c r="I209" s="3" t="n">
        <v>13689.3</v>
      </c>
      <c r="J209" s="3" t="n">
        <v>0</v>
      </c>
      <c r="K209" s="3" t="n">
        <v>13682.2</v>
      </c>
      <c r="L209" s="4" t="n">
        <v>99.99415333</v>
      </c>
      <c r="M209" s="3" t="n">
        <v>0.8</v>
      </c>
      <c r="N209" s="4" t="n">
        <v>0.005846671052</v>
      </c>
      <c r="O209" s="9" t="n">
        <f aca="false">$C$5-G209</f>
        <v>41</v>
      </c>
      <c r="P209" s="3" t="n">
        <f aca="false">H209/O209</f>
        <v>333.731707317073</v>
      </c>
      <c r="Q209" s="2" t="str">
        <f aca="false">IF(G209&lt;2010,"Legacy (pre-2010)",IF(G209&lt;=2017,"Established (2010-2017)","Emerging (2018+)"))</f>
        <v>Legacy (pre-2010)</v>
      </c>
    </row>
    <row r="210" customFormat="false" ht="15" hidden="false" customHeight="false" outlineLevel="0" collapsed="false">
      <c r="A210" s="2" t="s">
        <v>271</v>
      </c>
      <c r="B210" s="2" t="s">
        <v>21</v>
      </c>
      <c r="C210" s="2" t="s">
        <v>22</v>
      </c>
      <c r="D210" s="2" t="s">
        <v>17</v>
      </c>
      <c r="E210" s="2" t="s">
        <v>23</v>
      </c>
      <c r="F210" s="2" t="s">
        <v>19</v>
      </c>
      <c r="G210" s="2" t="n">
        <v>1990</v>
      </c>
      <c r="H210" s="3" t="n">
        <v>13650.2</v>
      </c>
      <c r="I210" s="3" t="n">
        <v>12396.8</v>
      </c>
      <c r="J210" s="3" t="n">
        <v>1258.3</v>
      </c>
      <c r="K210" s="3" t="n">
        <v>10348.7</v>
      </c>
      <c r="L210" s="4" t="n">
        <v>75.81354119</v>
      </c>
      <c r="M210" s="3" t="n">
        <v>3301.5</v>
      </c>
      <c r="N210" s="4" t="n">
        <v>24.18645881</v>
      </c>
      <c r="O210" s="9" t="n">
        <f aca="false">$C$5-G210</f>
        <v>36</v>
      </c>
      <c r="P210" s="3" t="n">
        <f aca="false">H210/O210</f>
        <v>379.172222222222</v>
      </c>
      <c r="Q210" s="2" t="str">
        <f aca="false">IF(G210&lt;2010,"Legacy (pre-2010)",IF(G210&lt;=2017,"Established (2010-2017)","Emerging (2018+)"))</f>
        <v>Legacy (pre-2010)</v>
      </c>
    </row>
    <row r="211" customFormat="false" ht="15" hidden="false" customHeight="false" outlineLevel="0" collapsed="false">
      <c r="A211" s="2" t="s">
        <v>272</v>
      </c>
      <c r="B211" s="2" t="s">
        <v>15</v>
      </c>
      <c r="C211" s="2" t="s">
        <v>22</v>
      </c>
      <c r="D211" s="2" t="s">
        <v>17</v>
      </c>
      <c r="E211" s="2" t="s">
        <v>273</v>
      </c>
      <c r="F211" s="2" t="s">
        <v>19</v>
      </c>
      <c r="G211" s="2" t="n">
        <v>2017</v>
      </c>
      <c r="H211" s="3" t="n">
        <v>13543.1</v>
      </c>
      <c r="I211" s="3" t="n">
        <v>12815.1</v>
      </c>
      <c r="J211" s="3" t="n">
        <v>728</v>
      </c>
      <c r="K211" s="3" t="n">
        <v>10726.1</v>
      </c>
      <c r="L211" s="4" t="n">
        <v>79.19974009</v>
      </c>
      <c r="M211" s="3" t="n">
        <v>2817</v>
      </c>
      <c r="N211" s="4" t="n">
        <v>20.80025991</v>
      </c>
      <c r="O211" s="9" t="n">
        <f aca="false">$C$5-G211</f>
        <v>9</v>
      </c>
      <c r="P211" s="3" t="n">
        <f aca="false">H211/O211</f>
        <v>1504.78888888889</v>
      </c>
      <c r="Q211" s="2" t="str">
        <f aca="false">IF(G211&lt;2010,"Legacy (pre-2010)",IF(G211&lt;=2017,"Established (2010-2017)","Emerging (2018+)"))</f>
        <v>Established (2010-2017)</v>
      </c>
    </row>
    <row r="212" customFormat="false" ht="15" hidden="false" customHeight="false" outlineLevel="0" collapsed="false">
      <c r="A212" s="2" t="s">
        <v>274</v>
      </c>
      <c r="B212" s="2" t="s">
        <v>21</v>
      </c>
      <c r="C212" s="2" t="s">
        <v>22</v>
      </c>
      <c r="D212" s="2" t="s">
        <v>17</v>
      </c>
      <c r="E212" s="2" t="s">
        <v>18</v>
      </c>
      <c r="F212" s="2" t="s">
        <v>19</v>
      </c>
      <c r="G212" s="2" t="n">
        <v>2016</v>
      </c>
      <c r="H212" s="3" t="n">
        <v>13532</v>
      </c>
      <c r="I212" s="3" t="n">
        <v>7853.3</v>
      </c>
      <c r="J212" s="3" t="n">
        <v>5683.7</v>
      </c>
      <c r="K212" s="3" t="n">
        <v>4660.7</v>
      </c>
      <c r="L212" s="4" t="n">
        <v>34.44206326</v>
      </c>
      <c r="M212" s="3" t="n">
        <v>8871.3</v>
      </c>
      <c r="N212" s="4" t="n">
        <v>65.55793674</v>
      </c>
      <c r="O212" s="9" t="n">
        <f aca="false">$C$5-G212</f>
        <v>10</v>
      </c>
      <c r="P212" s="3" t="n">
        <f aca="false">H212/O212</f>
        <v>1353.2</v>
      </c>
      <c r="Q212" s="2" t="str">
        <f aca="false">IF(G212&lt;2010,"Legacy (pre-2010)",IF(G212&lt;=2017,"Established (2010-2017)","Emerging (2018+)"))</f>
        <v>Established (2010-2017)</v>
      </c>
    </row>
    <row r="213" customFormat="false" ht="15" hidden="false" customHeight="false" outlineLevel="0" collapsed="false">
      <c r="A213" s="2" t="s">
        <v>275</v>
      </c>
      <c r="B213" s="2" t="s">
        <v>15</v>
      </c>
      <c r="C213" s="2" t="s">
        <v>90</v>
      </c>
      <c r="D213" s="2" t="s">
        <v>25</v>
      </c>
      <c r="E213" s="2" t="s">
        <v>91</v>
      </c>
      <c r="F213" s="2" t="s">
        <v>19</v>
      </c>
      <c r="G213" s="2" t="n">
        <v>2016</v>
      </c>
      <c r="H213" s="3" t="n">
        <v>13503.4</v>
      </c>
      <c r="I213" s="3" t="n">
        <v>9602.3</v>
      </c>
      <c r="J213" s="3" t="n">
        <v>3932.5</v>
      </c>
      <c r="K213" s="3" t="n">
        <v>8044.7</v>
      </c>
      <c r="L213" s="4" t="n">
        <v>59.5753662</v>
      </c>
      <c r="M213" s="3" t="n">
        <v>5458.7</v>
      </c>
      <c r="N213" s="4" t="n">
        <v>40.4246338</v>
      </c>
      <c r="O213" s="9" t="n">
        <f aca="false">$C$5-G213</f>
        <v>10</v>
      </c>
      <c r="P213" s="3" t="n">
        <f aca="false">H213/O213</f>
        <v>1350.34</v>
      </c>
      <c r="Q213" s="2" t="str">
        <f aca="false">IF(G213&lt;2010,"Legacy (pre-2010)",IF(G213&lt;=2017,"Established (2010-2017)","Emerging (2018+)"))</f>
        <v>Established (2010-2017)</v>
      </c>
    </row>
    <row r="214" customFormat="false" ht="15" hidden="false" customHeight="false" outlineLevel="0" collapsed="false">
      <c r="A214" s="2" t="s">
        <v>276</v>
      </c>
      <c r="B214" s="2" t="s">
        <v>15</v>
      </c>
      <c r="C214" s="2" t="s">
        <v>22</v>
      </c>
      <c r="D214" s="2" t="s">
        <v>17</v>
      </c>
      <c r="E214" s="2" t="s">
        <v>28</v>
      </c>
      <c r="F214" s="2" t="s">
        <v>19</v>
      </c>
      <c r="G214" s="2" t="n">
        <v>2013</v>
      </c>
      <c r="H214" s="3" t="n">
        <v>13490.4</v>
      </c>
      <c r="I214" s="3" t="n">
        <v>9955.4</v>
      </c>
      <c r="J214" s="3" t="n">
        <v>3540.8</v>
      </c>
      <c r="K214" s="3" t="n">
        <v>8582.9</v>
      </c>
      <c r="L214" s="4" t="n">
        <v>63.62227955</v>
      </c>
      <c r="M214" s="3" t="n">
        <v>4907.5</v>
      </c>
      <c r="N214" s="4" t="n">
        <v>36.37772045</v>
      </c>
      <c r="O214" s="9" t="n">
        <f aca="false">$C$5-G214</f>
        <v>13</v>
      </c>
      <c r="P214" s="3" t="n">
        <f aca="false">H214/O214</f>
        <v>1037.72307692308</v>
      </c>
      <c r="Q214" s="2" t="str">
        <f aca="false">IF(G214&lt;2010,"Legacy (pre-2010)",IF(G214&lt;=2017,"Established (2010-2017)","Emerging (2018+)"))</f>
        <v>Established (2010-2017)</v>
      </c>
    </row>
    <row r="215" customFormat="false" ht="15" hidden="false" customHeight="false" outlineLevel="0" collapsed="false">
      <c r="A215" s="2" t="s">
        <v>277</v>
      </c>
      <c r="B215" s="2" t="s">
        <v>15</v>
      </c>
      <c r="C215" s="2" t="s">
        <v>182</v>
      </c>
      <c r="D215" s="2" t="s">
        <v>17</v>
      </c>
      <c r="E215" s="2" t="s">
        <v>61</v>
      </c>
      <c r="F215" s="2" t="s">
        <v>19</v>
      </c>
      <c r="G215" s="2" t="n">
        <v>2012</v>
      </c>
      <c r="H215" s="3" t="n">
        <v>13468.7</v>
      </c>
      <c r="I215" s="3" t="n">
        <v>12222.3</v>
      </c>
      <c r="J215" s="3" t="n">
        <v>1249.7</v>
      </c>
      <c r="K215" s="3" t="n">
        <v>1202.8</v>
      </c>
      <c r="L215" s="4" t="n">
        <v>8.930334776</v>
      </c>
      <c r="M215" s="3" t="n">
        <v>12265.9</v>
      </c>
      <c r="N215" s="4" t="n">
        <v>91.06966522</v>
      </c>
      <c r="O215" s="9" t="n">
        <f aca="false">$C$5-G215</f>
        <v>14</v>
      </c>
      <c r="P215" s="3" t="n">
        <f aca="false">H215/O215</f>
        <v>962.05</v>
      </c>
      <c r="Q215" s="2" t="str">
        <f aca="false">IF(G215&lt;2010,"Legacy (pre-2010)",IF(G215&lt;=2017,"Established (2010-2017)","Emerging (2018+)"))</f>
        <v>Established (2010-2017)</v>
      </c>
    </row>
    <row r="216" customFormat="false" ht="15" hidden="false" customHeight="false" outlineLevel="0" collapsed="false">
      <c r="A216" s="2" t="s">
        <v>278</v>
      </c>
      <c r="B216" s="2" t="s">
        <v>15</v>
      </c>
      <c r="C216" s="2" t="s">
        <v>90</v>
      </c>
      <c r="D216" s="2" t="s">
        <v>25</v>
      </c>
      <c r="E216" s="2" t="s">
        <v>91</v>
      </c>
      <c r="F216" s="2" t="s">
        <v>49</v>
      </c>
      <c r="G216" s="2" t="n">
        <v>2003</v>
      </c>
      <c r="H216" s="3" t="n">
        <v>13433.6</v>
      </c>
      <c r="I216" s="3" t="n">
        <v>12366.7</v>
      </c>
      <c r="J216" s="3" t="n">
        <v>1072.9</v>
      </c>
      <c r="K216" s="3" t="n">
        <v>11154.7</v>
      </c>
      <c r="L216" s="4" t="n">
        <v>83.03582063</v>
      </c>
      <c r="M216" s="3" t="n">
        <v>2278.9</v>
      </c>
      <c r="N216" s="4" t="n">
        <v>16.96417937</v>
      </c>
      <c r="O216" s="9" t="n">
        <f aca="false">$C$5-G216</f>
        <v>23</v>
      </c>
      <c r="P216" s="3" t="n">
        <f aca="false">H216/O216</f>
        <v>584.069565217391</v>
      </c>
      <c r="Q216" s="2" t="str">
        <f aca="false">IF(G216&lt;2010,"Legacy (pre-2010)",IF(G216&lt;=2017,"Established (2010-2017)","Emerging (2018+)"))</f>
        <v>Legacy (pre-2010)</v>
      </c>
    </row>
    <row r="217" customFormat="false" ht="15" hidden="false" customHeight="false" outlineLevel="0" collapsed="false">
      <c r="A217" s="2" t="s">
        <v>279</v>
      </c>
      <c r="B217" s="2" t="s">
        <v>15</v>
      </c>
      <c r="C217" s="2" t="s">
        <v>34</v>
      </c>
      <c r="D217" s="2" t="s">
        <v>17</v>
      </c>
      <c r="E217" s="2" t="s">
        <v>52</v>
      </c>
      <c r="F217" s="2" t="s">
        <v>49</v>
      </c>
      <c r="G217" s="2" t="n">
        <v>1967</v>
      </c>
      <c r="H217" s="3" t="n">
        <v>13404.2</v>
      </c>
      <c r="I217" s="3" t="n">
        <v>11623.7</v>
      </c>
      <c r="J217" s="3" t="n">
        <v>1790.5</v>
      </c>
      <c r="K217" s="3" t="n">
        <v>13400.7</v>
      </c>
      <c r="L217" s="4" t="n">
        <v>99.97388878</v>
      </c>
      <c r="M217" s="3" t="n">
        <v>3.5</v>
      </c>
      <c r="N217" s="4" t="n">
        <v>0.02611121887</v>
      </c>
      <c r="O217" s="9" t="n">
        <f aca="false">$C$5-G217</f>
        <v>59</v>
      </c>
      <c r="P217" s="3" t="n">
        <f aca="false">H217/O217</f>
        <v>227.189830508475</v>
      </c>
      <c r="Q217" s="2" t="str">
        <f aca="false">IF(G217&lt;2010,"Legacy (pre-2010)",IF(G217&lt;=2017,"Established (2010-2017)","Emerging (2018+)"))</f>
        <v>Legacy (pre-2010)</v>
      </c>
    </row>
    <row r="218" customFormat="false" ht="15" hidden="false" customHeight="false" outlineLevel="0" collapsed="false">
      <c r="A218" s="2" t="s">
        <v>280</v>
      </c>
      <c r="B218" s="2" t="s">
        <v>15</v>
      </c>
      <c r="C218" s="2" t="s">
        <v>22</v>
      </c>
      <c r="D218" s="2" t="s">
        <v>17</v>
      </c>
      <c r="E218" s="2" t="s">
        <v>18</v>
      </c>
      <c r="F218" s="2" t="s">
        <v>19</v>
      </c>
      <c r="G218" s="2" t="n">
        <v>2006</v>
      </c>
      <c r="H218" s="3" t="n">
        <v>13398.3</v>
      </c>
      <c r="I218" s="3" t="n">
        <v>13409.8</v>
      </c>
      <c r="J218" s="3" t="n">
        <v>0</v>
      </c>
      <c r="K218" s="3" t="n">
        <v>4665.5</v>
      </c>
      <c r="L218" s="4" t="n">
        <v>34.82158184</v>
      </c>
      <c r="M218" s="3" t="n">
        <v>8732.8</v>
      </c>
      <c r="N218" s="4" t="n">
        <v>65.17841816</v>
      </c>
      <c r="O218" s="9" t="n">
        <f aca="false">$C$5-G218</f>
        <v>20</v>
      </c>
      <c r="P218" s="3" t="n">
        <f aca="false">H218/O218</f>
        <v>669.915</v>
      </c>
      <c r="Q218" s="2" t="str">
        <f aca="false">IF(G218&lt;2010,"Legacy (pre-2010)",IF(G218&lt;=2017,"Established (2010-2017)","Emerging (2018+)"))</f>
        <v>Legacy (pre-2010)</v>
      </c>
    </row>
    <row r="219" customFormat="false" ht="15" hidden="false" customHeight="false" outlineLevel="0" collapsed="false">
      <c r="A219" s="2" t="s">
        <v>281</v>
      </c>
      <c r="B219" s="2" t="s">
        <v>15</v>
      </c>
      <c r="C219" s="2" t="s">
        <v>22</v>
      </c>
      <c r="D219" s="2" t="s">
        <v>25</v>
      </c>
      <c r="E219" s="2" t="s">
        <v>26</v>
      </c>
      <c r="F219" s="2" t="s">
        <v>49</v>
      </c>
      <c r="G219" s="2" t="n">
        <v>1998</v>
      </c>
      <c r="H219" s="3" t="n">
        <v>13323.2</v>
      </c>
      <c r="I219" s="3" t="n">
        <v>8971.1</v>
      </c>
      <c r="J219" s="3" t="n">
        <v>4360.5</v>
      </c>
      <c r="K219" s="3" t="n">
        <v>5734.4</v>
      </c>
      <c r="L219" s="4" t="n">
        <v>43.04071094</v>
      </c>
      <c r="M219" s="3" t="n">
        <v>7588.8</v>
      </c>
      <c r="N219" s="4" t="n">
        <v>56.95928906</v>
      </c>
      <c r="O219" s="9" t="n">
        <f aca="false">$C$5-G219</f>
        <v>28</v>
      </c>
      <c r="P219" s="3" t="n">
        <f aca="false">H219/O219</f>
        <v>475.828571428572</v>
      </c>
      <c r="Q219" s="2" t="str">
        <f aca="false">IF(G219&lt;2010,"Legacy (pre-2010)",IF(G219&lt;=2017,"Established (2010-2017)","Emerging (2018+)"))</f>
        <v>Legacy (pre-2010)</v>
      </c>
    </row>
    <row r="220" customFormat="false" ht="15" hidden="false" customHeight="false" outlineLevel="0" collapsed="false">
      <c r="A220" s="2" t="s">
        <v>282</v>
      </c>
      <c r="B220" s="2" t="s">
        <v>15</v>
      </c>
      <c r="C220" s="2" t="s">
        <v>22</v>
      </c>
      <c r="D220" s="2" t="s">
        <v>17</v>
      </c>
      <c r="E220" s="2" t="s">
        <v>18</v>
      </c>
      <c r="F220" s="2" t="s">
        <v>19</v>
      </c>
      <c r="G220" s="2" t="n">
        <v>1984</v>
      </c>
      <c r="H220" s="3" t="n">
        <v>13320.3</v>
      </c>
      <c r="I220" s="3" t="n">
        <v>8568.7</v>
      </c>
      <c r="J220" s="3" t="n">
        <v>4756.2</v>
      </c>
      <c r="K220" s="3" t="n">
        <v>464.4</v>
      </c>
      <c r="L220" s="4" t="n">
        <v>3.486407964</v>
      </c>
      <c r="M220" s="3" t="n">
        <v>12855.9</v>
      </c>
      <c r="N220" s="4" t="n">
        <v>96.51359204</v>
      </c>
      <c r="O220" s="9" t="n">
        <f aca="false">$C$5-G220</f>
        <v>42</v>
      </c>
      <c r="P220" s="3" t="n">
        <f aca="false">H220/O220</f>
        <v>317.15</v>
      </c>
      <c r="Q220" s="2" t="str">
        <f aca="false">IF(G220&lt;2010,"Legacy (pre-2010)",IF(G220&lt;=2017,"Established (2010-2017)","Emerging (2018+)"))</f>
        <v>Legacy (pre-2010)</v>
      </c>
    </row>
    <row r="221" customFormat="false" ht="15" hidden="false" customHeight="false" outlineLevel="0" collapsed="false">
      <c r="A221" s="2" t="s">
        <v>283</v>
      </c>
      <c r="B221" s="2" t="s">
        <v>15</v>
      </c>
      <c r="C221" s="2" t="s">
        <v>22</v>
      </c>
      <c r="D221" s="2" t="s">
        <v>25</v>
      </c>
      <c r="E221" s="2" t="s">
        <v>26</v>
      </c>
      <c r="F221" s="2" t="s">
        <v>19</v>
      </c>
      <c r="G221" s="2" t="n">
        <v>2017</v>
      </c>
      <c r="H221" s="3" t="n">
        <v>13291</v>
      </c>
      <c r="I221" s="3" t="n">
        <v>10113.7</v>
      </c>
      <c r="J221" s="3" t="n">
        <v>3183.3</v>
      </c>
      <c r="K221" s="3" t="n">
        <v>4068.1</v>
      </c>
      <c r="L221" s="4" t="n">
        <v>30.60793018</v>
      </c>
      <c r="M221" s="3" t="n">
        <v>9222.9</v>
      </c>
      <c r="N221" s="4" t="n">
        <v>69.39206982</v>
      </c>
      <c r="O221" s="9" t="n">
        <f aca="false">$C$5-G221</f>
        <v>9</v>
      </c>
      <c r="P221" s="3" t="n">
        <f aca="false">H221/O221</f>
        <v>1476.77777777778</v>
      </c>
      <c r="Q221" s="2" t="str">
        <f aca="false">IF(G221&lt;2010,"Legacy (pre-2010)",IF(G221&lt;=2017,"Established (2010-2017)","Emerging (2018+)"))</f>
        <v>Established (2010-2017)</v>
      </c>
    </row>
    <row r="222" customFormat="false" ht="15" hidden="false" customHeight="false" outlineLevel="0" collapsed="false">
      <c r="A222" s="2" t="s">
        <v>284</v>
      </c>
      <c r="B222" s="2" t="s">
        <v>79</v>
      </c>
      <c r="C222" s="2" t="s">
        <v>22</v>
      </c>
      <c r="D222" s="2" t="s">
        <v>17</v>
      </c>
      <c r="E222" s="2" t="s">
        <v>58</v>
      </c>
      <c r="F222" s="2" t="s">
        <v>49</v>
      </c>
      <c r="G222" s="2" t="n">
        <v>2008</v>
      </c>
      <c r="H222" s="3" t="n">
        <v>13287</v>
      </c>
      <c r="I222" s="3" t="n">
        <v>13294.9</v>
      </c>
      <c r="J222" s="3" t="n">
        <v>0</v>
      </c>
      <c r="K222" s="3" t="n">
        <v>13287</v>
      </c>
      <c r="L222" s="4" t="n">
        <v>100</v>
      </c>
      <c r="M222" s="3" t="n">
        <v>0</v>
      </c>
      <c r="N222" s="4" t="n">
        <v>0</v>
      </c>
      <c r="O222" s="9" t="n">
        <f aca="false">$C$5-G222</f>
        <v>18</v>
      </c>
      <c r="P222" s="3" t="n">
        <f aca="false">H222/O222</f>
        <v>738.166666666667</v>
      </c>
      <c r="Q222" s="2" t="str">
        <f aca="false">IF(G222&lt;2010,"Legacy (pre-2010)",IF(G222&lt;=2017,"Established (2010-2017)","Emerging (2018+)"))</f>
        <v>Legacy (pre-2010)</v>
      </c>
    </row>
    <row r="223" customFormat="false" ht="15" hidden="false" customHeight="false" outlineLevel="0" collapsed="false">
      <c r="A223" s="2" t="s">
        <v>285</v>
      </c>
      <c r="B223" s="2" t="s">
        <v>15</v>
      </c>
      <c r="C223" s="2" t="s">
        <v>22</v>
      </c>
      <c r="D223" s="2" t="s">
        <v>17</v>
      </c>
      <c r="E223" s="2" t="s">
        <v>18</v>
      </c>
      <c r="F223" s="2" t="s">
        <v>19</v>
      </c>
      <c r="G223" s="2" t="n">
        <v>2008</v>
      </c>
      <c r="H223" s="3" t="n">
        <v>13281.8</v>
      </c>
      <c r="I223" s="3" t="n">
        <v>12309.2</v>
      </c>
      <c r="J223" s="3" t="n">
        <v>978.1</v>
      </c>
      <c r="K223" s="3" t="n">
        <v>11171.3</v>
      </c>
      <c r="L223" s="4" t="n">
        <v>84.10983451</v>
      </c>
      <c r="M223" s="3" t="n">
        <v>2110.5</v>
      </c>
      <c r="N223" s="4" t="n">
        <v>15.89016549</v>
      </c>
      <c r="O223" s="9" t="n">
        <f aca="false">$C$5-G223</f>
        <v>18</v>
      </c>
      <c r="P223" s="3" t="n">
        <f aca="false">H223/O223</f>
        <v>737.877777777778</v>
      </c>
      <c r="Q223" s="2" t="str">
        <f aca="false">IF(G223&lt;2010,"Legacy (pre-2010)",IF(G223&lt;=2017,"Established (2010-2017)","Emerging (2018+)"))</f>
        <v>Legacy (pre-2010)</v>
      </c>
    </row>
    <row r="224" customFormat="false" ht="15" hidden="false" customHeight="false" outlineLevel="0" collapsed="false">
      <c r="A224" s="2" t="s">
        <v>286</v>
      </c>
      <c r="B224" s="2" t="s">
        <v>15</v>
      </c>
      <c r="C224" s="2" t="s">
        <v>22</v>
      </c>
      <c r="D224" s="2" t="s">
        <v>25</v>
      </c>
      <c r="E224" s="2" t="s">
        <v>26</v>
      </c>
      <c r="F224" s="2" t="s">
        <v>19</v>
      </c>
      <c r="G224" s="2" t="n">
        <v>2000</v>
      </c>
      <c r="H224" s="3" t="n">
        <v>13273.4</v>
      </c>
      <c r="I224" s="3" t="n">
        <v>4702.2</v>
      </c>
      <c r="J224" s="3" t="n">
        <v>8580.5</v>
      </c>
      <c r="K224" s="3" t="n">
        <v>575.4</v>
      </c>
      <c r="L224" s="4" t="n">
        <v>4.334985761</v>
      </c>
      <c r="M224" s="3" t="n">
        <v>12698</v>
      </c>
      <c r="N224" s="4" t="n">
        <v>95.66501424</v>
      </c>
      <c r="O224" s="9" t="n">
        <f aca="false">$C$5-G224</f>
        <v>26</v>
      </c>
      <c r="P224" s="3" t="n">
        <f aca="false">H224/O224</f>
        <v>510.515384615385</v>
      </c>
      <c r="Q224" s="2" t="str">
        <f aca="false">IF(G224&lt;2010,"Legacy (pre-2010)",IF(G224&lt;=2017,"Established (2010-2017)","Emerging (2018+)"))</f>
        <v>Legacy (pre-2010)</v>
      </c>
    </row>
    <row r="225" customFormat="false" ht="15" hidden="false" customHeight="false" outlineLevel="0" collapsed="false">
      <c r="A225" s="2" t="s">
        <v>287</v>
      </c>
      <c r="B225" s="2" t="s">
        <v>79</v>
      </c>
      <c r="C225" s="2" t="s">
        <v>22</v>
      </c>
      <c r="D225" s="2" t="s">
        <v>17</v>
      </c>
      <c r="E225" s="2" t="s">
        <v>61</v>
      </c>
      <c r="F225" s="2" t="s">
        <v>49</v>
      </c>
      <c r="G225" s="2" t="n">
        <v>2009</v>
      </c>
      <c r="H225" s="3" t="n">
        <v>13220.4</v>
      </c>
      <c r="I225" s="3" t="n">
        <v>11619.7</v>
      </c>
      <c r="J225" s="3" t="n">
        <v>1604</v>
      </c>
      <c r="K225" s="3" t="n">
        <v>45.4</v>
      </c>
      <c r="L225" s="4" t="n">
        <v>0.3434086714</v>
      </c>
      <c r="M225" s="3" t="n">
        <v>13175</v>
      </c>
      <c r="N225" s="4" t="n">
        <v>99.65659133</v>
      </c>
      <c r="O225" s="9" t="n">
        <f aca="false">$C$5-G225</f>
        <v>17</v>
      </c>
      <c r="P225" s="3" t="n">
        <f aca="false">H225/O225</f>
        <v>777.670588235294</v>
      </c>
      <c r="Q225" s="2" t="str">
        <f aca="false">IF(G225&lt;2010,"Legacy (pre-2010)",IF(G225&lt;=2017,"Established (2010-2017)","Emerging (2018+)"))</f>
        <v>Legacy (pre-2010)</v>
      </c>
    </row>
    <row r="226" customFormat="false" ht="15" hidden="false" customHeight="false" outlineLevel="0" collapsed="false">
      <c r="A226" s="2" t="s">
        <v>288</v>
      </c>
      <c r="B226" s="2" t="s">
        <v>15</v>
      </c>
      <c r="C226" s="2" t="s">
        <v>22</v>
      </c>
      <c r="D226" s="2" t="s">
        <v>17</v>
      </c>
      <c r="E226" s="2" t="s">
        <v>23</v>
      </c>
      <c r="F226" s="2" t="s">
        <v>19</v>
      </c>
      <c r="G226" s="2" t="n">
        <v>1999</v>
      </c>
      <c r="H226" s="3" t="n">
        <v>13208.3</v>
      </c>
      <c r="I226" s="3" t="n">
        <v>12134.4</v>
      </c>
      <c r="J226" s="3" t="n">
        <v>1076.8</v>
      </c>
      <c r="K226" s="3" t="n">
        <v>11821.4</v>
      </c>
      <c r="L226" s="4" t="n">
        <v>89.49978423</v>
      </c>
      <c r="M226" s="3" t="n">
        <v>1386.9</v>
      </c>
      <c r="N226" s="4" t="n">
        <v>10.50021577</v>
      </c>
      <c r="O226" s="9" t="n">
        <f aca="false">$C$5-G226</f>
        <v>27</v>
      </c>
      <c r="P226" s="3" t="n">
        <f aca="false">H226/O226</f>
        <v>489.196296296296</v>
      </c>
      <c r="Q226" s="2" t="str">
        <f aca="false">IF(G226&lt;2010,"Legacy (pre-2010)",IF(G226&lt;=2017,"Established (2010-2017)","Emerging (2018+)"))</f>
        <v>Legacy (pre-2010)</v>
      </c>
    </row>
    <row r="227" customFormat="false" ht="15" hidden="false" customHeight="false" outlineLevel="0" collapsed="false">
      <c r="A227" s="2" t="s">
        <v>289</v>
      </c>
      <c r="B227" s="2" t="s">
        <v>15</v>
      </c>
      <c r="C227" s="2" t="s">
        <v>22</v>
      </c>
      <c r="D227" s="2" t="s">
        <v>17</v>
      </c>
      <c r="E227" s="2" t="s">
        <v>28</v>
      </c>
      <c r="F227" s="2" t="s">
        <v>19</v>
      </c>
      <c r="G227" s="2" t="n">
        <v>2010</v>
      </c>
      <c r="H227" s="3" t="n">
        <v>13065.7</v>
      </c>
      <c r="I227" s="3" t="n">
        <v>7612.4</v>
      </c>
      <c r="J227" s="3" t="n">
        <v>5460.1</v>
      </c>
      <c r="K227" s="3" t="n">
        <v>5541.7</v>
      </c>
      <c r="L227" s="4" t="n">
        <v>42.41410717</v>
      </c>
      <c r="M227" s="3" t="n">
        <v>7524</v>
      </c>
      <c r="N227" s="4" t="n">
        <v>57.58589283</v>
      </c>
      <c r="O227" s="9" t="n">
        <f aca="false">$C$5-G227</f>
        <v>16</v>
      </c>
      <c r="P227" s="3" t="n">
        <f aca="false">H227/O227</f>
        <v>816.60625</v>
      </c>
      <c r="Q227" s="2" t="str">
        <f aca="false">IF(G227&lt;2010,"Legacy (pre-2010)",IF(G227&lt;=2017,"Established (2010-2017)","Emerging (2018+)"))</f>
        <v>Established (2010-2017)</v>
      </c>
    </row>
    <row r="228" customFormat="false" ht="15" hidden="false" customHeight="false" outlineLevel="0" collapsed="false">
      <c r="A228" s="2" t="s">
        <v>290</v>
      </c>
      <c r="B228" s="2" t="s">
        <v>15</v>
      </c>
      <c r="C228" s="2" t="s">
        <v>22</v>
      </c>
      <c r="D228" s="2" t="s">
        <v>17</v>
      </c>
      <c r="E228" s="2" t="s">
        <v>18</v>
      </c>
      <c r="F228" s="2" t="s">
        <v>19</v>
      </c>
      <c r="G228" s="2" t="n">
        <v>2018</v>
      </c>
      <c r="H228" s="3" t="n">
        <v>13039.8</v>
      </c>
      <c r="I228" s="3" t="n">
        <v>12982.3</v>
      </c>
      <c r="J228" s="3" t="n">
        <v>59.7</v>
      </c>
      <c r="K228" s="3" t="n">
        <v>7413.1</v>
      </c>
      <c r="L228" s="4" t="n">
        <v>56.84979831</v>
      </c>
      <c r="M228" s="3" t="n">
        <v>5626.7</v>
      </c>
      <c r="N228" s="4" t="n">
        <v>43.15020169</v>
      </c>
      <c r="O228" s="9" t="n">
        <f aca="false">$C$5-G228</f>
        <v>8</v>
      </c>
      <c r="P228" s="3" t="n">
        <f aca="false">H228/O228</f>
        <v>1629.975</v>
      </c>
      <c r="Q228" s="2" t="str">
        <f aca="false">IF(G228&lt;2010,"Legacy (pre-2010)",IF(G228&lt;=2017,"Established (2010-2017)","Emerging (2018+)"))</f>
        <v>Emerging (2018+)</v>
      </c>
    </row>
    <row r="229" customFormat="false" ht="15" hidden="false" customHeight="false" outlineLevel="0" collapsed="false">
      <c r="A229" s="2" t="s">
        <v>291</v>
      </c>
      <c r="B229" s="2" t="s">
        <v>15</v>
      </c>
      <c r="C229" s="2" t="s">
        <v>22</v>
      </c>
      <c r="D229" s="2" t="s">
        <v>17</v>
      </c>
      <c r="E229" s="2" t="s">
        <v>292</v>
      </c>
      <c r="F229" s="2" t="s">
        <v>49</v>
      </c>
      <c r="G229" s="2" t="n">
        <v>1998</v>
      </c>
      <c r="H229" s="3" t="n">
        <v>13009.4</v>
      </c>
      <c r="I229" s="3" t="n">
        <v>13017.1</v>
      </c>
      <c r="J229" s="3" t="n">
        <v>0</v>
      </c>
      <c r="K229" s="3" t="n">
        <v>12963.5</v>
      </c>
      <c r="L229" s="4" t="n">
        <v>99.64717819</v>
      </c>
      <c r="M229" s="3" t="n">
        <v>45.9</v>
      </c>
      <c r="N229" s="4" t="n">
        <v>0.3528218058</v>
      </c>
      <c r="O229" s="9" t="n">
        <f aca="false">$C$5-G229</f>
        <v>28</v>
      </c>
      <c r="P229" s="3" t="n">
        <f aca="false">H229/O229</f>
        <v>464.621428571429</v>
      </c>
      <c r="Q229" s="2" t="str">
        <f aca="false">IF(G229&lt;2010,"Legacy (pre-2010)",IF(G229&lt;=2017,"Established (2010-2017)","Emerging (2018+)"))</f>
        <v>Legacy (pre-2010)</v>
      </c>
    </row>
    <row r="230" customFormat="false" ht="15" hidden="false" customHeight="false" outlineLevel="0" collapsed="false">
      <c r="A230" s="2" t="s">
        <v>293</v>
      </c>
      <c r="B230" s="2" t="s">
        <v>15</v>
      </c>
      <c r="C230" s="2" t="s">
        <v>22</v>
      </c>
      <c r="D230" s="2" t="s">
        <v>17</v>
      </c>
      <c r="E230" s="2" t="s">
        <v>18</v>
      </c>
      <c r="F230" s="2" t="s">
        <v>19</v>
      </c>
      <c r="G230" s="2" t="n">
        <v>2009</v>
      </c>
      <c r="H230" s="3" t="n">
        <v>12994.4</v>
      </c>
      <c r="I230" s="3" t="n">
        <v>12999.7</v>
      </c>
      <c r="J230" s="3" t="n">
        <v>0</v>
      </c>
      <c r="K230" s="3" t="n">
        <v>5593.4</v>
      </c>
      <c r="L230" s="4" t="n">
        <v>43.04469618</v>
      </c>
      <c r="M230" s="3" t="n">
        <v>7401</v>
      </c>
      <c r="N230" s="4" t="n">
        <v>56.95530382</v>
      </c>
      <c r="O230" s="9" t="n">
        <f aca="false">$C$5-G230</f>
        <v>17</v>
      </c>
      <c r="P230" s="3" t="n">
        <f aca="false">H230/O230</f>
        <v>764.376470588235</v>
      </c>
      <c r="Q230" s="2" t="str">
        <f aca="false">IF(G230&lt;2010,"Legacy (pre-2010)",IF(G230&lt;=2017,"Established (2010-2017)","Emerging (2018+)"))</f>
        <v>Legacy (pre-2010)</v>
      </c>
    </row>
    <row r="231" customFormat="false" ht="15" hidden="false" customHeight="false" outlineLevel="0" collapsed="false">
      <c r="A231" s="2" t="s">
        <v>294</v>
      </c>
      <c r="B231" s="2" t="s">
        <v>79</v>
      </c>
      <c r="C231" s="2" t="s">
        <v>148</v>
      </c>
      <c r="D231" s="2" t="s">
        <v>17</v>
      </c>
      <c r="E231" s="2" t="s">
        <v>23</v>
      </c>
      <c r="F231" s="2" t="s">
        <v>49</v>
      </c>
      <c r="G231" s="2" t="n">
        <v>1972</v>
      </c>
      <c r="H231" s="3" t="n">
        <v>12992.2</v>
      </c>
      <c r="I231" s="3" t="n">
        <v>10479.5</v>
      </c>
      <c r="J231" s="3" t="n">
        <v>2516.3</v>
      </c>
      <c r="K231" s="3" t="n">
        <v>12992.2</v>
      </c>
      <c r="L231" s="4" t="n">
        <v>100</v>
      </c>
      <c r="M231" s="3" t="n">
        <v>0</v>
      </c>
      <c r="N231" s="4" t="n">
        <v>0</v>
      </c>
      <c r="O231" s="9" t="n">
        <f aca="false">$C$5-G231</f>
        <v>54</v>
      </c>
      <c r="P231" s="3" t="n">
        <f aca="false">H231/O231</f>
        <v>240.596296296296</v>
      </c>
      <c r="Q231" s="2" t="str">
        <f aca="false">IF(G231&lt;2010,"Legacy (pre-2010)",IF(G231&lt;=2017,"Established (2010-2017)","Emerging (2018+)"))</f>
        <v>Legacy (pre-2010)</v>
      </c>
    </row>
    <row r="232" customFormat="false" ht="15" hidden="false" customHeight="false" outlineLevel="0" collapsed="false">
      <c r="A232" s="2" t="s">
        <v>295</v>
      </c>
      <c r="B232" s="2" t="s">
        <v>21</v>
      </c>
      <c r="C232" s="2" t="s">
        <v>22</v>
      </c>
      <c r="D232" s="2" t="s">
        <v>25</v>
      </c>
      <c r="E232" s="2" t="s">
        <v>83</v>
      </c>
      <c r="F232" s="2" t="s">
        <v>19</v>
      </c>
      <c r="G232" s="2" t="n">
        <v>2013</v>
      </c>
      <c r="H232" s="3" t="n">
        <v>12985.2</v>
      </c>
      <c r="I232" s="3" t="n">
        <v>8772.2</v>
      </c>
      <c r="J232" s="3" t="n">
        <v>4216.8</v>
      </c>
      <c r="K232" s="3" t="n">
        <v>2160.8</v>
      </c>
      <c r="L232" s="4" t="n">
        <v>16.64048301</v>
      </c>
      <c r="M232" s="3" t="n">
        <v>10824.4</v>
      </c>
      <c r="N232" s="4" t="n">
        <v>83.35951699</v>
      </c>
      <c r="O232" s="9" t="n">
        <f aca="false">$C$5-G232</f>
        <v>13</v>
      </c>
      <c r="P232" s="3" t="n">
        <f aca="false">H232/O232</f>
        <v>998.861538461539</v>
      </c>
      <c r="Q232" s="2" t="str">
        <f aca="false">IF(G232&lt;2010,"Legacy (pre-2010)",IF(G232&lt;=2017,"Established (2010-2017)","Emerging (2018+)"))</f>
        <v>Established (2010-2017)</v>
      </c>
    </row>
    <row r="233" customFormat="false" ht="15" hidden="false" customHeight="false" outlineLevel="0" collapsed="false">
      <c r="A233" s="2" t="s">
        <v>296</v>
      </c>
      <c r="B233" s="2" t="s">
        <v>15</v>
      </c>
      <c r="C233" s="2" t="s">
        <v>22</v>
      </c>
      <c r="D233" s="2" t="s">
        <v>25</v>
      </c>
      <c r="E233" s="2" t="s">
        <v>26</v>
      </c>
      <c r="F233" s="2" t="s">
        <v>19</v>
      </c>
      <c r="G233" s="2" t="n">
        <v>2003</v>
      </c>
      <c r="H233" s="3" t="n">
        <v>12929.7</v>
      </c>
      <c r="I233" s="3" t="n">
        <v>5938.5</v>
      </c>
      <c r="J233" s="3" t="n">
        <v>6997.8</v>
      </c>
      <c r="K233" s="3" t="n">
        <v>1490.1</v>
      </c>
      <c r="L233" s="4" t="n">
        <v>11.52462934</v>
      </c>
      <c r="M233" s="3" t="n">
        <v>11439.6</v>
      </c>
      <c r="N233" s="4" t="n">
        <v>88.47537066</v>
      </c>
      <c r="O233" s="9" t="n">
        <f aca="false">$C$5-G233</f>
        <v>23</v>
      </c>
      <c r="P233" s="3" t="n">
        <f aca="false">H233/O233</f>
        <v>562.160869565218</v>
      </c>
      <c r="Q233" s="2" t="str">
        <f aca="false">IF(G233&lt;2010,"Legacy (pre-2010)",IF(G233&lt;=2017,"Established (2010-2017)","Emerging (2018+)"))</f>
        <v>Legacy (pre-2010)</v>
      </c>
    </row>
    <row r="234" customFormat="false" ht="15" hidden="false" customHeight="false" outlineLevel="0" collapsed="false">
      <c r="A234" s="2" t="s">
        <v>297</v>
      </c>
      <c r="B234" s="2" t="s">
        <v>15</v>
      </c>
      <c r="C234" s="2" t="s">
        <v>243</v>
      </c>
      <c r="D234" s="2" t="s">
        <v>25</v>
      </c>
      <c r="E234" s="2" t="s">
        <v>83</v>
      </c>
      <c r="F234" s="2" t="s">
        <v>19</v>
      </c>
      <c r="G234" s="2" t="n">
        <v>1995</v>
      </c>
      <c r="H234" s="3" t="n">
        <v>12857.9</v>
      </c>
      <c r="I234" s="3" t="n">
        <v>11010.3</v>
      </c>
      <c r="J234" s="3" t="n">
        <v>1853</v>
      </c>
      <c r="K234" s="3" t="n">
        <v>3301</v>
      </c>
      <c r="L234" s="4" t="n">
        <v>25.67293259</v>
      </c>
      <c r="M234" s="3" t="n">
        <v>9556.9</v>
      </c>
      <c r="N234" s="4" t="n">
        <v>74.32706741</v>
      </c>
      <c r="O234" s="9" t="n">
        <f aca="false">$C$5-G234</f>
        <v>31</v>
      </c>
      <c r="P234" s="3" t="n">
        <f aca="false">H234/O234</f>
        <v>414.770967741935</v>
      </c>
      <c r="Q234" s="2" t="str">
        <f aca="false">IF(G234&lt;2010,"Legacy (pre-2010)",IF(G234&lt;=2017,"Established (2010-2017)","Emerging (2018+)"))</f>
        <v>Legacy (pre-2010)</v>
      </c>
    </row>
    <row r="235" customFormat="false" ht="15" hidden="false" customHeight="false" outlineLevel="0" collapsed="false">
      <c r="A235" s="2" t="s">
        <v>298</v>
      </c>
      <c r="B235" s="2" t="s">
        <v>15</v>
      </c>
      <c r="C235" s="2" t="s">
        <v>22</v>
      </c>
      <c r="D235" s="2" t="s">
        <v>17</v>
      </c>
      <c r="E235" s="2" t="s">
        <v>18</v>
      </c>
      <c r="F235" s="2" t="s">
        <v>19</v>
      </c>
      <c r="G235" s="2" t="n">
        <v>2015</v>
      </c>
      <c r="H235" s="3" t="n">
        <v>12823.8</v>
      </c>
      <c r="I235" s="3" t="n">
        <v>5535</v>
      </c>
      <c r="J235" s="3" t="n">
        <v>7288.8</v>
      </c>
      <c r="K235" s="3" t="n">
        <v>2109.2</v>
      </c>
      <c r="L235" s="4" t="n">
        <v>16.44754285</v>
      </c>
      <c r="M235" s="3" t="n">
        <v>10714.6</v>
      </c>
      <c r="N235" s="4" t="n">
        <v>83.55245715</v>
      </c>
      <c r="O235" s="9" t="n">
        <f aca="false">$C$5-G235</f>
        <v>11</v>
      </c>
      <c r="P235" s="3" t="n">
        <f aca="false">H235/O235</f>
        <v>1165.8</v>
      </c>
      <c r="Q235" s="2" t="str">
        <f aca="false">IF(G235&lt;2010,"Legacy (pre-2010)",IF(G235&lt;=2017,"Established (2010-2017)","Emerging (2018+)"))</f>
        <v>Established (2010-2017)</v>
      </c>
    </row>
    <row r="236" customFormat="false" ht="15" hidden="false" customHeight="false" outlineLevel="0" collapsed="false">
      <c r="A236" s="2" t="s">
        <v>299</v>
      </c>
      <c r="B236" s="2" t="s">
        <v>15</v>
      </c>
      <c r="C236" s="2" t="s">
        <v>90</v>
      </c>
      <c r="D236" s="2" t="s">
        <v>25</v>
      </c>
      <c r="E236" s="2" t="s">
        <v>91</v>
      </c>
      <c r="F236" s="2" t="s">
        <v>19</v>
      </c>
      <c r="G236" s="2" t="n">
        <v>2018</v>
      </c>
      <c r="H236" s="3" t="n">
        <v>12810.9</v>
      </c>
      <c r="I236" s="3" t="n">
        <v>6582.9</v>
      </c>
      <c r="J236" s="3" t="n">
        <v>6236.2</v>
      </c>
      <c r="K236" s="3" t="n">
        <v>1707.5</v>
      </c>
      <c r="L236" s="4" t="n">
        <v>13.3284937</v>
      </c>
      <c r="M236" s="3" t="n">
        <v>11103.4</v>
      </c>
      <c r="N236" s="4" t="n">
        <v>86.6715063</v>
      </c>
      <c r="O236" s="9" t="n">
        <f aca="false">$C$5-G236</f>
        <v>8</v>
      </c>
      <c r="P236" s="3" t="n">
        <f aca="false">H236/O236</f>
        <v>1601.3625</v>
      </c>
      <c r="Q236" s="2" t="str">
        <f aca="false">IF(G236&lt;2010,"Legacy (pre-2010)",IF(G236&lt;=2017,"Established (2010-2017)","Emerging (2018+)"))</f>
        <v>Emerging (2018+)</v>
      </c>
    </row>
    <row r="237" customFormat="false" ht="15" hidden="false" customHeight="false" outlineLevel="0" collapsed="false">
      <c r="A237" s="2" t="s">
        <v>300</v>
      </c>
      <c r="B237" s="2" t="s">
        <v>15</v>
      </c>
      <c r="C237" s="2" t="s">
        <v>22</v>
      </c>
      <c r="D237" s="2" t="s">
        <v>25</v>
      </c>
      <c r="E237" s="2" t="s">
        <v>26</v>
      </c>
      <c r="F237" s="2" t="s">
        <v>49</v>
      </c>
      <c r="G237" s="2" t="n">
        <v>2000</v>
      </c>
      <c r="H237" s="3" t="n">
        <v>12799.8</v>
      </c>
      <c r="I237" s="3" t="n">
        <v>5018.4</v>
      </c>
      <c r="J237" s="3" t="n">
        <v>7786.4</v>
      </c>
      <c r="K237" s="3" t="n">
        <v>1713.9</v>
      </c>
      <c r="L237" s="4" t="n">
        <v>13.39005297</v>
      </c>
      <c r="M237" s="3" t="n">
        <v>11085.9</v>
      </c>
      <c r="N237" s="4" t="n">
        <v>86.60994703</v>
      </c>
      <c r="O237" s="9" t="n">
        <f aca="false">$C$5-G237</f>
        <v>26</v>
      </c>
      <c r="P237" s="3" t="n">
        <f aca="false">H237/O237</f>
        <v>492.3</v>
      </c>
      <c r="Q237" s="2" t="str">
        <f aca="false">IF(G237&lt;2010,"Legacy (pre-2010)",IF(G237&lt;=2017,"Established (2010-2017)","Emerging (2018+)"))</f>
        <v>Legacy (pre-2010)</v>
      </c>
    </row>
    <row r="238" customFormat="false" ht="15" hidden="false" customHeight="false" outlineLevel="0" collapsed="false">
      <c r="A238" s="2" t="s">
        <v>301</v>
      </c>
      <c r="B238" s="2" t="s">
        <v>15</v>
      </c>
      <c r="C238" s="2" t="s">
        <v>95</v>
      </c>
      <c r="D238" s="2" t="s">
        <v>17</v>
      </c>
      <c r="E238" s="2" t="s">
        <v>52</v>
      </c>
      <c r="F238" s="2" t="s">
        <v>49</v>
      </c>
      <c r="G238" s="2" t="n">
        <v>2011</v>
      </c>
      <c r="H238" s="3" t="n">
        <v>12788.3</v>
      </c>
      <c r="I238" s="3" t="n">
        <v>12025.6</v>
      </c>
      <c r="J238" s="3" t="n">
        <v>766.3</v>
      </c>
      <c r="K238" s="3" t="n">
        <v>11526.4</v>
      </c>
      <c r="L238" s="4" t="n">
        <v>90.13238663</v>
      </c>
      <c r="M238" s="3" t="n">
        <v>1261.9</v>
      </c>
      <c r="N238" s="4" t="n">
        <v>9.867613365</v>
      </c>
      <c r="O238" s="9" t="n">
        <f aca="false">$C$5-G238</f>
        <v>15</v>
      </c>
      <c r="P238" s="3" t="n">
        <f aca="false">H238/O238</f>
        <v>852.553333333333</v>
      </c>
      <c r="Q238" s="2" t="str">
        <f aca="false">IF(G238&lt;2010,"Legacy (pre-2010)",IF(G238&lt;=2017,"Established (2010-2017)","Emerging (2018+)"))</f>
        <v>Established (2010-2017)</v>
      </c>
    </row>
    <row r="239" customFormat="false" ht="15" hidden="false" customHeight="false" outlineLevel="0" collapsed="false">
      <c r="A239" s="2" t="s">
        <v>302</v>
      </c>
      <c r="B239" s="2" t="s">
        <v>15</v>
      </c>
      <c r="C239" s="2" t="s">
        <v>22</v>
      </c>
      <c r="D239" s="2" t="s">
        <v>17</v>
      </c>
      <c r="E239" s="2" t="s">
        <v>18</v>
      </c>
      <c r="F239" s="2" t="s">
        <v>19</v>
      </c>
      <c r="G239" s="2" t="n">
        <v>2015</v>
      </c>
      <c r="H239" s="3" t="n">
        <v>12751</v>
      </c>
      <c r="I239" s="3" t="n">
        <v>8481.6</v>
      </c>
      <c r="J239" s="3" t="n">
        <v>4272.5</v>
      </c>
      <c r="K239" s="3" t="n">
        <v>5659.8</v>
      </c>
      <c r="L239" s="4" t="n">
        <v>44.38710689</v>
      </c>
      <c r="M239" s="3" t="n">
        <v>7091.2</v>
      </c>
      <c r="N239" s="4" t="n">
        <v>55.61289311</v>
      </c>
      <c r="O239" s="9" t="n">
        <f aca="false">$C$5-G239</f>
        <v>11</v>
      </c>
      <c r="P239" s="3" t="n">
        <f aca="false">H239/O239</f>
        <v>1159.18181818182</v>
      </c>
      <c r="Q239" s="2" t="str">
        <f aca="false">IF(G239&lt;2010,"Legacy (pre-2010)",IF(G239&lt;=2017,"Established (2010-2017)","Emerging (2018+)"))</f>
        <v>Established (2010-2017)</v>
      </c>
    </row>
    <row r="240" customFormat="false" ht="15" hidden="false" customHeight="false" outlineLevel="0" collapsed="false">
      <c r="A240" s="2" t="s">
        <v>303</v>
      </c>
      <c r="B240" s="2" t="s">
        <v>21</v>
      </c>
      <c r="C240" s="2" t="s">
        <v>46</v>
      </c>
      <c r="D240" s="2" t="s">
        <v>47</v>
      </c>
      <c r="E240" s="2" t="s">
        <v>48</v>
      </c>
      <c r="F240" s="2" t="s">
        <v>49</v>
      </c>
      <c r="G240" s="2" t="n">
        <v>2015</v>
      </c>
      <c r="H240" s="3" t="n">
        <v>12716.2</v>
      </c>
      <c r="I240" s="3" t="n">
        <v>2648.7</v>
      </c>
      <c r="J240" s="3" t="n">
        <v>10073.4</v>
      </c>
      <c r="K240" s="3" t="n">
        <v>12242.6</v>
      </c>
      <c r="L240" s="4" t="n">
        <v>96.27561693</v>
      </c>
      <c r="M240" s="3" t="n">
        <v>473.6</v>
      </c>
      <c r="N240" s="4" t="n">
        <v>3.72438307</v>
      </c>
      <c r="O240" s="9" t="n">
        <f aca="false">$C$5-G240</f>
        <v>11</v>
      </c>
      <c r="P240" s="3" t="n">
        <f aca="false">H240/O240</f>
        <v>1156.01818181818</v>
      </c>
      <c r="Q240" s="2" t="str">
        <f aca="false">IF(G240&lt;2010,"Legacy (pre-2010)",IF(G240&lt;=2017,"Established (2010-2017)","Emerging (2018+)"))</f>
        <v>Established (2010-2017)</v>
      </c>
    </row>
    <row r="241" customFormat="false" ht="15" hidden="false" customHeight="false" outlineLevel="0" collapsed="false">
      <c r="A241" s="2" t="s">
        <v>304</v>
      </c>
      <c r="B241" s="2" t="s">
        <v>15</v>
      </c>
      <c r="C241" s="2" t="s">
        <v>22</v>
      </c>
      <c r="D241" s="2" t="s">
        <v>25</v>
      </c>
      <c r="E241" s="2" t="s">
        <v>26</v>
      </c>
      <c r="F241" s="2" t="s">
        <v>19</v>
      </c>
      <c r="G241" s="2" t="n">
        <v>2004</v>
      </c>
      <c r="H241" s="3" t="n">
        <v>12713.2</v>
      </c>
      <c r="I241" s="3" t="n">
        <v>12596.1</v>
      </c>
      <c r="J241" s="3" t="n">
        <v>124.8</v>
      </c>
      <c r="K241" s="3" t="n">
        <v>1284.7</v>
      </c>
      <c r="L241" s="4" t="n">
        <v>10.10524494</v>
      </c>
      <c r="M241" s="3" t="n">
        <v>11428.5</v>
      </c>
      <c r="N241" s="4" t="n">
        <v>89.89475506</v>
      </c>
      <c r="O241" s="9" t="n">
        <f aca="false">$C$5-G241</f>
        <v>22</v>
      </c>
      <c r="P241" s="3" t="n">
        <f aca="false">H241/O241</f>
        <v>577.872727272727</v>
      </c>
      <c r="Q241" s="2" t="str">
        <f aca="false">IF(G241&lt;2010,"Legacy (pre-2010)",IF(G241&lt;=2017,"Established (2010-2017)","Emerging (2018+)"))</f>
        <v>Legacy (pre-2010)</v>
      </c>
    </row>
    <row r="242" customFormat="false" ht="15" hidden="false" customHeight="false" outlineLevel="0" collapsed="false">
      <c r="A242" s="2" t="s">
        <v>305</v>
      </c>
      <c r="B242" s="2" t="s">
        <v>21</v>
      </c>
      <c r="C242" s="2" t="s">
        <v>22</v>
      </c>
      <c r="D242" s="2" t="s">
        <v>17</v>
      </c>
      <c r="E242" s="2" t="s">
        <v>23</v>
      </c>
      <c r="F242" s="2" t="s">
        <v>19</v>
      </c>
      <c r="G242" s="2" t="n">
        <v>2008</v>
      </c>
      <c r="H242" s="3" t="n">
        <v>12700.7</v>
      </c>
      <c r="I242" s="3" t="n">
        <v>8281.2</v>
      </c>
      <c r="J242" s="3" t="n">
        <v>4423.1</v>
      </c>
      <c r="K242" s="3" t="n">
        <v>7763.9</v>
      </c>
      <c r="L242" s="4" t="n">
        <v>61.12970151</v>
      </c>
      <c r="M242" s="3" t="n">
        <v>4936.8</v>
      </c>
      <c r="N242" s="4" t="n">
        <v>38.87029849</v>
      </c>
      <c r="O242" s="9" t="n">
        <f aca="false">$C$5-G242</f>
        <v>18</v>
      </c>
      <c r="P242" s="3" t="n">
        <f aca="false">H242/O242</f>
        <v>705.594444444444</v>
      </c>
      <c r="Q242" s="2" t="str">
        <f aca="false">IF(G242&lt;2010,"Legacy (pre-2010)",IF(G242&lt;=2017,"Established (2010-2017)","Emerging (2018+)"))</f>
        <v>Legacy (pre-2010)</v>
      </c>
    </row>
    <row r="243" customFormat="false" ht="15" hidden="false" customHeight="false" outlineLevel="0" collapsed="false">
      <c r="A243" s="2" t="s">
        <v>306</v>
      </c>
      <c r="B243" s="2" t="s">
        <v>15</v>
      </c>
      <c r="C243" s="2" t="s">
        <v>34</v>
      </c>
      <c r="D243" s="2" t="s">
        <v>17</v>
      </c>
      <c r="E243" s="2" t="s">
        <v>23</v>
      </c>
      <c r="F243" s="2" t="s">
        <v>19</v>
      </c>
      <c r="G243" s="2" t="n">
        <v>2010</v>
      </c>
      <c r="H243" s="3" t="n">
        <v>12650.8</v>
      </c>
      <c r="I243" s="3" t="n">
        <v>11398.2</v>
      </c>
      <c r="J243" s="3" t="n">
        <v>1255.5</v>
      </c>
      <c r="K243" s="3" t="n">
        <v>5777.3</v>
      </c>
      <c r="L243" s="4" t="n">
        <v>45.66746767</v>
      </c>
      <c r="M243" s="3" t="n">
        <v>6873.5</v>
      </c>
      <c r="N243" s="4" t="n">
        <v>54.33253233</v>
      </c>
      <c r="O243" s="9" t="n">
        <f aca="false">$C$5-G243</f>
        <v>16</v>
      </c>
      <c r="P243" s="3" t="n">
        <f aca="false">H243/O243</f>
        <v>790.675</v>
      </c>
      <c r="Q243" s="2" t="str">
        <f aca="false">IF(G243&lt;2010,"Legacy (pre-2010)",IF(G243&lt;=2017,"Established (2010-2017)","Emerging (2018+)"))</f>
        <v>Established (2010-2017)</v>
      </c>
    </row>
    <row r="244" customFormat="false" ht="15" hidden="false" customHeight="false" outlineLevel="0" collapsed="false">
      <c r="A244" s="2" t="s">
        <v>307</v>
      </c>
      <c r="B244" s="2" t="s">
        <v>15</v>
      </c>
      <c r="C244" s="2" t="s">
        <v>16</v>
      </c>
      <c r="D244" s="2" t="s">
        <v>17</v>
      </c>
      <c r="E244" s="2" t="s">
        <v>23</v>
      </c>
      <c r="F244" s="2" t="s">
        <v>19</v>
      </c>
      <c r="G244" s="2" t="n">
        <v>2001</v>
      </c>
      <c r="H244" s="3" t="n">
        <v>12647.5</v>
      </c>
      <c r="I244" s="3" t="n">
        <v>11934</v>
      </c>
      <c r="J244" s="3" t="n">
        <v>715.4</v>
      </c>
      <c r="K244" s="3" t="n">
        <v>10362.7</v>
      </c>
      <c r="L244" s="4" t="n">
        <v>81.93476972</v>
      </c>
      <c r="M244" s="3" t="n">
        <v>2284.8</v>
      </c>
      <c r="N244" s="4" t="n">
        <v>18.06523028</v>
      </c>
      <c r="O244" s="9" t="n">
        <f aca="false">$C$5-G244</f>
        <v>25</v>
      </c>
      <c r="P244" s="3" t="n">
        <f aca="false">H244/O244</f>
        <v>505.9</v>
      </c>
      <c r="Q244" s="2" t="str">
        <f aca="false">IF(G244&lt;2010,"Legacy (pre-2010)",IF(G244&lt;=2017,"Established (2010-2017)","Emerging (2018+)"))</f>
        <v>Legacy (pre-2010)</v>
      </c>
    </row>
    <row r="245" customFormat="false" ht="15" hidden="false" customHeight="false" outlineLevel="0" collapsed="false">
      <c r="A245" s="2" t="s">
        <v>308</v>
      </c>
      <c r="B245" s="2" t="s">
        <v>15</v>
      </c>
      <c r="C245" s="2" t="s">
        <v>22</v>
      </c>
      <c r="D245" s="2" t="s">
        <v>17</v>
      </c>
      <c r="E245" s="2" t="s">
        <v>18</v>
      </c>
      <c r="F245" s="2" t="s">
        <v>19</v>
      </c>
      <c r="G245" s="2" t="n">
        <v>2000</v>
      </c>
      <c r="H245" s="3" t="n">
        <v>12593.2</v>
      </c>
      <c r="I245" s="3" t="n">
        <v>6266</v>
      </c>
      <c r="J245" s="3" t="n">
        <v>6330.7</v>
      </c>
      <c r="K245" s="3" t="n">
        <v>351.5</v>
      </c>
      <c r="L245" s="4" t="n">
        <v>2.791188896</v>
      </c>
      <c r="M245" s="3" t="n">
        <v>12241.7</v>
      </c>
      <c r="N245" s="4" t="n">
        <v>97.2088111</v>
      </c>
      <c r="O245" s="9" t="n">
        <f aca="false">$C$5-G245</f>
        <v>26</v>
      </c>
      <c r="P245" s="3" t="n">
        <f aca="false">H245/O245</f>
        <v>484.353846153846</v>
      </c>
      <c r="Q245" s="2" t="str">
        <f aca="false">IF(G245&lt;2010,"Legacy (pre-2010)",IF(G245&lt;=2017,"Established (2010-2017)","Emerging (2018+)"))</f>
        <v>Legacy (pre-2010)</v>
      </c>
    </row>
    <row r="246" customFormat="false" ht="15" hidden="false" customHeight="false" outlineLevel="0" collapsed="false">
      <c r="A246" s="2" t="s">
        <v>309</v>
      </c>
      <c r="B246" s="2" t="s">
        <v>21</v>
      </c>
      <c r="C246" s="2" t="s">
        <v>34</v>
      </c>
      <c r="D246" s="2" t="s">
        <v>17</v>
      </c>
      <c r="E246" s="2" t="s">
        <v>23</v>
      </c>
      <c r="F246" s="2" t="s">
        <v>19</v>
      </c>
      <c r="G246" s="2" t="n">
        <v>2013</v>
      </c>
      <c r="H246" s="3" t="n">
        <v>12593</v>
      </c>
      <c r="I246" s="3" t="n">
        <v>12542.7</v>
      </c>
      <c r="J246" s="3" t="n">
        <v>29.5</v>
      </c>
      <c r="K246" s="3" t="n">
        <v>3706.6</v>
      </c>
      <c r="L246" s="4" t="n">
        <v>29.43381244</v>
      </c>
      <c r="M246" s="3" t="n">
        <v>8886.4</v>
      </c>
      <c r="N246" s="4" t="n">
        <v>70.56618756</v>
      </c>
      <c r="O246" s="9" t="n">
        <f aca="false">$C$5-G246</f>
        <v>13</v>
      </c>
      <c r="P246" s="3" t="n">
        <f aca="false">H246/O246</f>
        <v>968.692307692308</v>
      </c>
      <c r="Q246" s="2" t="str">
        <f aca="false">IF(G246&lt;2010,"Legacy (pre-2010)",IF(G246&lt;=2017,"Established (2010-2017)","Emerging (2018+)"))</f>
        <v>Established (2010-2017)</v>
      </c>
    </row>
    <row r="247" customFormat="false" ht="15" hidden="false" customHeight="false" outlineLevel="0" collapsed="false">
      <c r="A247" s="2" t="s">
        <v>310</v>
      </c>
      <c r="B247" s="2" t="s">
        <v>15</v>
      </c>
      <c r="C247" s="2" t="s">
        <v>34</v>
      </c>
      <c r="D247" s="2" t="s">
        <v>17</v>
      </c>
      <c r="E247" s="2" t="s">
        <v>52</v>
      </c>
      <c r="F247" s="2" t="s">
        <v>49</v>
      </c>
      <c r="G247" s="2" t="n">
        <v>1964</v>
      </c>
      <c r="H247" s="3" t="n">
        <v>12566.2</v>
      </c>
      <c r="I247" s="3" t="n">
        <v>4905.7</v>
      </c>
      <c r="J247" s="3" t="n">
        <v>7658.9</v>
      </c>
      <c r="K247" s="3" t="n">
        <v>12335.7</v>
      </c>
      <c r="L247" s="4" t="n">
        <v>98.16571438</v>
      </c>
      <c r="M247" s="3" t="n">
        <v>230.5</v>
      </c>
      <c r="N247" s="4" t="n">
        <v>1.834285623</v>
      </c>
      <c r="O247" s="9" t="n">
        <f aca="false">$C$5-G247</f>
        <v>62</v>
      </c>
      <c r="P247" s="3" t="n">
        <f aca="false">H247/O247</f>
        <v>202.68064516129</v>
      </c>
      <c r="Q247" s="2" t="str">
        <f aca="false">IF(G247&lt;2010,"Legacy (pre-2010)",IF(G247&lt;=2017,"Established (2010-2017)","Emerging (2018+)"))</f>
        <v>Legacy (pre-2010)</v>
      </c>
    </row>
    <row r="248" customFormat="false" ht="15" hidden="false" customHeight="false" outlineLevel="0" collapsed="false">
      <c r="A248" s="2" t="s">
        <v>311</v>
      </c>
      <c r="B248" s="2" t="s">
        <v>15</v>
      </c>
      <c r="C248" s="2" t="s">
        <v>22</v>
      </c>
      <c r="D248" s="2" t="s">
        <v>17</v>
      </c>
      <c r="E248" s="2" t="s">
        <v>23</v>
      </c>
      <c r="F248" s="2" t="s">
        <v>19</v>
      </c>
      <c r="G248" s="2" t="n">
        <v>1939</v>
      </c>
      <c r="H248" s="3" t="n">
        <v>12421.7</v>
      </c>
      <c r="I248" s="3" t="n">
        <v>11999.7</v>
      </c>
      <c r="J248" s="3" t="n">
        <v>421.9</v>
      </c>
      <c r="K248" s="3" t="n">
        <v>9162.6</v>
      </c>
      <c r="L248" s="4" t="n">
        <v>73.7628505</v>
      </c>
      <c r="M248" s="3" t="n">
        <v>3259.1</v>
      </c>
      <c r="N248" s="4" t="n">
        <v>26.2371495</v>
      </c>
      <c r="O248" s="9" t="n">
        <f aca="false">$C$5-G248</f>
        <v>87</v>
      </c>
      <c r="P248" s="3" t="n">
        <f aca="false">H248/O248</f>
        <v>142.77816091954</v>
      </c>
      <c r="Q248" s="2" t="str">
        <f aca="false">IF(G248&lt;2010,"Legacy (pre-2010)",IF(G248&lt;=2017,"Established (2010-2017)","Emerging (2018+)"))</f>
        <v>Legacy (pre-2010)</v>
      </c>
    </row>
    <row r="249" customFormat="false" ht="15" hidden="false" customHeight="false" outlineLevel="0" collapsed="false">
      <c r="A249" s="2" t="s">
        <v>312</v>
      </c>
      <c r="B249" s="2" t="s">
        <v>15</v>
      </c>
      <c r="C249" s="2" t="s">
        <v>129</v>
      </c>
      <c r="D249" s="2" t="s">
        <v>130</v>
      </c>
      <c r="E249" s="2" t="s">
        <v>61</v>
      </c>
      <c r="F249" s="2" t="s">
        <v>19</v>
      </c>
      <c r="G249" s="2" t="n">
        <v>2014</v>
      </c>
      <c r="H249" s="3" t="n">
        <v>12403.3</v>
      </c>
      <c r="I249" s="3" t="n">
        <v>7261.2</v>
      </c>
      <c r="J249" s="3" t="n">
        <v>5145.8</v>
      </c>
      <c r="K249" s="3" t="n">
        <v>376.4</v>
      </c>
      <c r="L249" s="4" t="n">
        <v>3.034676256</v>
      </c>
      <c r="M249" s="3" t="n">
        <v>12026.9</v>
      </c>
      <c r="N249" s="4" t="n">
        <v>96.96532374</v>
      </c>
      <c r="O249" s="9" t="n">
        <f aca="false">$C$5-G249</f>
        <v>12</v>
      </c>
      <c r="P249" s="3" t="n">
        <f aca="false">H249/O249</f>
        <v>1033.60833333333</v>
      </c>
      <c r="Q249" s="2" t="str">
        <f aca="false">IF(G249&lt;2010,"Legacy (pre-2010)",IF(G249&lt;=2017,"Established (2010-2017)","Emerging (2018+)"))</f>
        <v>Established (2010-2017)</v>
      </c>
    </row>
    <row r="250" customFormat="false" ht="15" hidden="false" customHeight="false" outlineLevel="0" collapsed="false">
      <c r="A250" s="2" t="s">
        <v>313</v>
      </c>
      <c r="B250" s="2" t="s">
        <v>15</v>
      </c>
      <c r="C250" s="2" t="s">
        <v>22</v>
      </c>
      <c r="D250" s="2" t="s">
        <v>25</v>
      </c>
      <c r="E250" s="2" t="s">
        <v>26</v>
      </c>
      <c r="F250" s="2" t="s">
        <v>19</v>
      </c>
      <c r="G250" s="2" t="n">
        <v>2015</v>
      </c>
      <c r="H250" s="3" t="n">
        <v>12394.6</v>
      </c>
      <c r="I250" s="3" t="n">
        <v>4419.4</v>
      </c>
      <c r="J250" s="3" t="n">
        <v>7981.5</v>
      </c>
      <c r="K250" s="3" t="n">
        <v>1528.1</v>
      </c>
      <c r="L250" s="4" t="n">
        <v>12.32875607</v>
      </c>
      <c r="M250" s="3" t="n">
        <v>10866.5</v>
      </c>
      <c r="N250" s="4" t="n">
        <v>87.67124393</v>
      </c>
      <c r="O250" s="9" t="n">
        <f aca="false">$C$5-G250</f>
        <v>11</v>
      </c>
      <c r="P250" s="3" t="n">
        <f aca="false">H250/O250</f>
        <v>1126.78181818182</v>
      </c>
      <c r="Q250" s="2" t="str">
        <f aca="false">IF(G250&lt;2010,"Legacy (pre-2010)",IF(G250&lt;=2017,"Established (2010-2017)","Emerging (2018+)"))</f>
        <v>Established (2010-2017)</v>
      </c>
    </row>
    <row r="251" customFormat="false" ht="15" hidden="false" customHeight="false" outlineLevel="0" collapsed="false">
      <c r="A251" s="2" t="s">
        <v>314</v>
      </c>
      <c r="B251" s="2" t="s">
        <v>15</v>
      </c>
      <c r="C251" s="2" t="s">
        <v>167</v>
      </c>
      <c r="D251" s="2" t="s">
        <v>168</v>
      </c>
      <c r="E251" s="2" t="s">
        <v>169</v>
      </c>
      <c r="F251" s="2" t="s">
        <v>19</v>
      </c>
      <c r="G251" s="2" t="n">
        <v>2009</v>
      </c>
      <c r="H251" s="3" t="n">
        <v>12324.9</v>
      </c>
      <c r="I251" s="3" t="n">
        <v>10393.6</v>
      </c>
      <c r="J251" s="3" t="n">
        <v>1924.7</v>
      </c>
      <c r="K251" s="3" t="n">
        <v>8841.9</v>
      </c>
      <c r="L251" s="4" t="n">
        <v>71.74013582</v>
      </c>
      <c r="M251" s="3" t="n">
        <v>3483</v>
      </c>
      <c r="N251" s="4" t="n">
        <v>28.25986418</v>
      </c>
      <c r="O251" s="9" t="n">
        <f aca="false">$C$5-G251</f>
        <v>17</v>
      </c>
      <c r="P251" s="3" t="n">
        <f aca="false">H251/O251</f>
        <v>724.994117647059</v>
      </c>
      <c r="Q251" s="2" t="str">
        <f aca="false">IF(G251&lt;2010,"Legacy (pre-2010)",IF(G251&lt;=2017,"Established (2010-2017)","Emerging (2018+)"))</f>
        <v>Legacy (pre-2010)</v>
      </c>
    </row>
    <row r="252" customFormat="false" ht="15" hidden="false" customHeight="false" outlineLevel="0" collapsed="false">
      <c r="A252" s="2" t="s">
        <v>315</v>
      </c>
      <c r="B252" s="2" t="s">
        <v>15</v>
      </c>
      <c r="C252" s="2" t="s">
        <v>22</v>
      </c>
      <c r="D252" s="2" t="s">
        <v>25</v>
      </c>
      <c r="E252" s="2" t="s">
        <v>18</v>
      </c>
      <c r="F252" s="2" t="s">
        <v>19</v>
      </c>
      <c r="G252" s="2" t="n">
        <v>2017</v>
      </c>
      <c r="H252" s="3" t="n">
        <v>12209.5</v>
      </c>
      <c r="I252" s="3" t="n">
        <v>8937.9</v>
      </c>
      <c r="J252" s="3" t="n">
        <v>3281.7</v>
      </c>
      <c r="K252" s="3" t="n">
        <v>3226.5</v>
      </c>
      <c r="L252" s="4" t="n">
        <v>26.42614358</v>
      </c>
      <c r="M252" s="3" t="n">
        <v>8983</v>
      </c>
      <c r="N252" s="4" t="n">
        <v>73.57385642</v>
      </c>
      <c r="O252" s="9" t="n">
        <f aca="false">$C$5-G252</f>
        <v>9</v>
      </c>
      <c r="P252" s="3" t="n">
        <f aca="false">H252/O252</f>
        <v>1356.61111111111</v>
      </c>
      <c r="Q252" s="2" t="str">
        <f aca="false">IF(G252&lt;2010,"Legacy (pre-2010)",IF(G252&lt;=2017,"Established (2010-2017)","Emerging (2018+)"))</f>
        <v>Established (2010-2017)</v>
      </c>
    </row>
    <row r="253" customFormat="false" ht="15" hidden="false" customHeight="false" outlineLevel="0" collapsed="false">
      <c r="A253" s="2" t="s">
        <v>316</v>
      </c>
      <c r="B253" s="2" t="s">
        <v>15</v>
      </c>
      <c r="C253" s="2" t="s">
        <v>90</v>
      </c>
      <c r="D253" s="2" t="s">
        <v>25</v>
      </c>
      <c r="E253" s="2" t="s">
        <v>91</v>
      </c>
      <c r="F253" s="2" t="s">
        <v>49</v>
      </c>
      <c r="G253" s="2" t="n">
        <v>2014</v>
      </c>
      <c r="H253" s="3" t="n">
        <v>12151.3</v>
      </c>
      <c r="I253" s="3" t="n">
        <v>8589.8</v>
      </c>
      <c r="J253" s="3" t="n">
        <v>3569.6</v>
      </c>
      <c r="K253" s="3" t="n">
        <v>2705.2</v>
      </c>
      <c r="L253" s="4" t="n">
        <v>22.26263857</v>
      </c>
      <c r="M253" s="3" t="n">
        <v>9446.1</v>
      </c>
      <c r="N253" s="4" t="n">
        <v>77.73736143</v>
      </c>
      <c r="O253" s="9" t="n">
        <f aca="false">$C$5-G253</f>
        <v>12</v>
      </c>
      <c r="P253" s="3" t="n">
        <f aca="false">H253/O253</f>
        <v>1012.60833333333</v>
      </c>
      <c r="Q253" s="2" t="str">
        <f aca="false">IF(G253&lt;2010,"Legacy (pre-2010)",IF(G253&lt;=2017,"Established (2010-2017)","Emerging (2018+)"))</f>
        <v>Established (2010-2017)</v>
      </c>
    </row>
    <row r="254" customFormat="false" ht="15" hidden="false" customHeight="false" outlineLevel="0" collapsed="false">
      <c r="A254" s="2" t="s">
        <v>317</v>
      </c>
      <c r="B254" s="2" t="s">
        <v>15</v>
      </c>
      <c r="C254" s="2" t="s">
        <v>72</v>
      </c>
      <c r="D254" s="2" t="s">
        <v>73</v>
      </c>
      <c r="E254" s="2" t="s">
        <v>74</v>
      </c>
      <c r="F254" s="2" t="s">
        <v>19</v>
      </c>
      <c r="G254" s="2" t="n">
        <v>2008</v>
      </c>
      <c r="H254" s="3" t="n">
        <v>12136.7</v>
      </c>
      <c r="I254" s="3" t="n">
        <v>8.4</v>
      </c>
      <c r="J254" s="3" t="n">
        <v>12135.9</v>
      </c>
      <c r="K254" s="3" t="n">
        <v>0</v>
      </c>
      <c r="L254" s="4" t="n">
        <v>0</v>
      </c>
      <c r="M254" s="3" t="n">
        <v>12136.7</v>
      </c>
      <c r="N254" s="4" t="n">
        <v>100</v>
      </c>
      <c r="O254" s="9" t="n">
        <f aca="false">$C$5-G254</f>
        <v>18</v>
      </c>
      <c r="P254" s="3" t="n">
        <f aca="false">H254/O254</f>
        <v>674.261111111111</v>
      </c>
      <c r="Q254" s="2" t="str">
        <f aca="false">IF(G254&lt;2010,"Legacy (pre-2010)",IF(G254&lt;=2017,"Established (2010-2017)","Emerging (2018+)"))</f>
        <v>Legacy (pre-2010)</v>
      </c>
    </row>
    <row r="255" customFormat="false" ht="15" hidden="false" customHeight="false" outlineLevel="0" collapsed="false">
      <c r="A255" s="2" t="s">
        <v>318</v>
      </c>
      <c r="B255" s="2" t="s">
        <v>21</v>
      </c>
      <c r="C255" s="2" t="s">
        <v>22</v>
      </c>
      <c r="D255" s="2" t="s">
        <v>17</v>
      </c>
      <c r="E255" s="2" t="s">
        <v>28</v>
      </c>
      <c r="F255" s="2" t="s">
        <v>19</v>
      </c>
      <c r="G255" s="2" t="n">
        <v>2001</v>
      </c>
      <c r="H255" s="3" t="n">
        <v>12099.6</v>
      </c>
      <c r="I255" s="3" t="n">
        <v>8350.5</v>
      </c>
      <c r="J255" s="3" t="n">
        <v>3754.7</v>
      </c>
      <c r="K255" s="3" t="n">
        <v>7341.3</v>
      </c>
      <c r="L255" s="4" t="n">
        <v>60.67390658</v>
      </c>
      <c r="M255" s="3" t="n">
        <v>4758.3</v>
      </c>
      <c r="N255" s="4" t="n">
        <v>39.32609342</v>
      </c>
      <c r="O255" s="9" t="n">
        <f aca="false">$C$5-G255</f>
        <v>25</v>
      </c>
      <c r="P255" s="3" t="n">
        <f aca="false">H255/O255</f>
        <v>483.984</v>
      </c>
      <c r="Q255" s="2" t="str">
        <f aca="false">IF(G255&lt;2010,"Legacy (pre-2010)",IF(G255&lt;=2017,"Established (2010-2017)","Emerging (2018+)"))</f>
        <v>Legacy (pre-2010)</v>
      </c>
    </row>
    <row r="256" customFormat="false" ht="15" hidden="false" customHeight="false" outlineLevel="0" collapsed="false">
      <c r="A256" s="2" t="s">
        <v>319</v>
      </c>
      <c r="B256" s="2" t="s">
        <v>21</v>
      </c>
      <c r="C256" s="2" t="s">
        <v>22</v>
      </c>
      <c r="D256" s="2" t="s">
        <v>17</v>
      </c>
      <c r="E256" s="2" t="s">
        <v>23</v>
      </c>
      <c r="F256" s="2" t="s">
        <v>19</v>
      </c>
      <c r="G256" s="2" t="n">
        <v>2009</v>
      </c>
      <c r="H256" s="3" t="n">
        <v>12094.7</v>
      </c>
      <c r="I256" s="3" t="n">
        <v>7821.4</v>
      </c>
      <c r="J256" s="3" t="n">
        <v>4279.1</v>
      </c>
      <c r="K256" s="3" t="n">
        <v>7189.4</v>
      </c>
      <c r="L256" s="4" t="n">
        <v>59.44256575</v>
      </c>
      <c r="M256" s="3" t="n">
        <v>4905.3</v>
      </c>
      <c r="N256" s="4" t="n">
        <v>40.55743425</v>
      </c>
      <c r="O256" s="9" t="n">
        <f aca="false">$C$5-G256</f>
        <v>17</v>
      </c>
      <c r="P256" s="3" t="n">
        <f aca="false">H256/O256</f>
        <v>711.452941176471</v>
      </c>
      <c r="Q256" s="2" t="str">
        <f aca="false">IF(G256&lt;2010,"Legacy (pre-2010)",IF(G256&lt;=2017,"Established (2010-2017)","Emerging (2018+)"))</f>
        <v>Legacy (pre-2010)</v>
      </c>
    </row>
    <row r="257" customFormat="false" ht="15" hidden="false" customHeight="false" outlineLevel="0" collapsed="false">
      <c r="A257" s="2" t="s">
        <v>320</v>
      </c>
      <c r="B257" s="2" t="s">
        <v>15</v>
      </c>
      <c r="C257" s="2" t="s">
        <v>22</v>
      </c>
      <c r="D257" s="2" t="s">
        <v>17</v>
      </c>
      <c r="E257" s="2" t="s">
        <v>23</v>
      </c>
      <c r="F257" s="2" t="s">
        <v>19</v>
      </c>
      <c r="G257" s="2" t="n">
        <v>2015</v>
      </c>
      <c r="H257" s="3" t="n">
        <v>11966.9</v>
      </c>
      <c r="I257" s="3" t="n">
        <v>10802.2</v>
      </c>
      <c r="J257" s="3" t="n">
        <v>1167.1</v>
      </c>
      <c r="K257" s="3" t="n">
        <v>7423</v>
      </c>
      <c r="L257" s="4" t="n">
        <v>62.02943118</v>
      </c>
      <c r="M257" s="3" t="n">
        <v>4543.9</v>
      </c>
      <c r="N257" s="4" t="n">
        <v>37.97056882</v>
      </c>
      <c r="O257" s="9" t="n">
        <f aca="false">$C$5-G257</f>
        <v>11</v>
      </c>
      <c r="P257" s="3" t="n">
        <f aca="false">H257/O257</f>
        <v>1087.9</v>
      </c>
      <c r="Q257" s="2" t="str">
        <f aca="false">IF(G257&lt;2010,"Legacy (pre-2010)",IF(G257&lt;=2017,"Established (2010-2017)","Emerging (2018+)"))</f>
        <v>Established (2010-2017)</v>
      </c>
    </row>
    <row r="258" customFormat="false" ht="15" hidden="false" customHeight="false" outlineLevel="0" collapsed="false">
      <c r="A258" s="2" t="s">
        <v>321</v>
      </c>
      <c r="B258" s="2" t="s">
        <v>21</v>
      </c>
      <c r="C258" s="2" t="s">
        <v>22</v>
      </c>
      <c r="D258" s="2" t="s">
        <v>17</v>
      </c>
      <c r="E258" s="2" t="s">
        <v>23</v>
      </c>
      <c r="F258" s="2" t="s">
        <v>19</v>
      </c>
      <c r="G258" s="2" t="n">
        <v>1982</v>
      </c>
      <c r="H258" s="3" t="n">
        <v>11879.6</v>
      </c>
      <c r="I258" s="3" t="n">
        <v>10122.7</v>
      </c>
      <c r="J258" s="3" t="n">
        <v>1768.2</v>
      </c>
      <c r="K258" s="3" t="n">
        <v>8527.5</v>
      </c>
      <c r="L258" s="4" t="n">
        <v>71.78271996</v>
      </c>
      <c r="M258" s="3" t="n">
        <v>3352.1</v>
      </c>
      <c r="N258" s="4" t="n">
        <v>28.21728004</v>
      </c>
      <c r="O258" s="9" t="n">
        <f aca="false">$C$5-G258</f>
        <v>44</v>
      </c>
      <c r="P258" s="3" t="n">
        <f aca="false">H258/O258</f>
        <v>269.990909090909</v>
      </c>
      <c r="Q258" s="2" t="str">
        <f aca="false">IF(G258&lt;2010,"Legacy (pre-2010)",IF(G258&lt;=2017,"Established (2010-2017)","Emerging (2018+)"))</f>
        <v>Legacy (pre-2010)</v>
      </c>
    </row>
    <row r="259" customFormat="false" ht="15" hidden="false" customHeight="false" outlineLevel="0" collapsed="false">
      <c r="A259" s="2" t="s">
        <v>322</v>
      </c>
      <c r="B259" s="2" t="s">
        <v>15</v>
      </c>
      <c r="C259" s="2" t="s">
        <v>90</v>
      </c>
      <c r="D259" s="2" t="s">
        <v>25</v>
      </c>
      <c r="E259" s="2" t="s">
        <v>83</v>
      </c>
      <c r="F259" s="2" t="s">
        <v>49</v>
      </c>
      <c r="G259" s="2" t="n">
        <v>2005</v>
      </c>
      <c r="H259" s="3" t="n">
        <v>11853.7</v>
      </c>
      <c r="I259" s="3" t="n">
        <v>9900.6</v>
      </c>
      <c r="J259" s="3" t="n">
        <v>1953.1</v>
      </c>
      <c r="K259" s="3" t="n">
        <v>5248.7</v>
      </c>
      <c r="L259" s="4" t="n">
        <v>44.27900149</v>
      </c>
      <c r="M259" s="3" t="n">
        <v>6605</v>
      </c>
      <c r="N259" s="4" t="n">
        <v>55.72099851</v>
      </c>
      <c r="O259" s="9" t="n">
        <f aca="false">$C$5-G259</f>
        <v>21</v>
      </c>
      <c r="P259" s="3" t="n">
        <f aca="false">H259/O259</f>
        <v>564.461904761905</v>
      </c>
      <c r="Q259" s="2" t="str">
        <f aca="false">IF(G259&lt;2010,"Legacy (pre-2010)",IF(G259&lt;=2017,"Established (2010-2017)","Emerging (2018+)"))</f>
        <v>Legacy (pre-2010)</v>
      </c>
    </row>
    <row r="260" customFormat="false" ht="15" hidden="false" customHeight="false" outlineLevel="0" collapsed="false">
      <c r="A260" s="2" t="s">
        <v>323</v>
      </c>
      <c r="B260" s="2" t="s">
        <v>15</v>
      </c>
      <c r="C260" s="2" t="s">
        <v>22</v>
      </c>
      <c r="D260" s="2" t="s">
        <v>17</v>
      </c>
      <c r="E260" s="2" t="s">
        <v>28</v>
      </c>
      <c r="F260" s="2" t="s">
        <v>19</v>
      </c>
      <c r="G260" s="2" t="n">
        <v>2004</v>
      </c>
      <c r="H260" s="3" t="n">
        <v>11821.6</v>
      </c>
      <c r="I260" s="3" t="n">
        <v>7454.6</v>
      </c>
      <c r="J260" s="3" t="n">
        <v>4369.1</v>
      </c>
      <c r="K260" s="3" t="n">
        <v>5783.2</v>
      </c>
      <c r="L260" s="4" t="n">
        <v>48.92061988</v>
      </c>
      <c r="M260" s="3" t="n">
        <v>6038.4</v>
      </c>
      <c r="N260" s="4" t="n">
        <v>51.07938012</v>
      </c>
      <c r="O260" s="9" t="n">
        <f aca="false">$C$5-G260</f>
        <v>22</v>
      </c>
      <c r="P260" s="3" t="n">
        <f aca="false">H260/O260</f>
        <v>537.345454545455</v>
      </c>
      <c r="Q260" s="2" t="str">
        <f aca="false">IF(G260&lt;2010,"Legacy (pre-2010)",IF(G260&lt;=2017,"Established (2010-2017)","Emerging (2018+)"))</f>
        <v>Legacy (pre-2010)</v>
      </c>
    </row>
    <row r="261" customFormat="false" ht="15" hidden="false" customHeight="false" outlineLevel="0" collapsed="false">
      <c r="A261" s="2" t="s">
        <v>324</v>
      </c>
      <c r="B261" s="2" t="s">
        <v>21</v>
      </c>
      <c r="C261" s="2" t="s">
        <v>22</v>
      </c>
      <c r="D261" s="2" t="s">
        <v>17</v>
      </c>
      <c r="E261" s="2" t="s">
        <v>23</v>
      </c>
      <c r="F261" s="2" t="s">
        <v>19</v>
      </c>
      <c r="G261" s="2" t="n">
        <v>2009</v>
      </c>
      <c r="H261" s="3" t="n">
        <v>11817.1</v>
      </c>
      <c r="I261" s="3" t="n">
        <v>9731.6</v>
      </c>
      <c r="J261" s="3" t="n">
        <v>2088</v>
      </c>
      <c r="K261" s="3" t="n">
        <v>7684.3</v>
      </c>
      <c r="L261" s="4" t="n">
        <v>65.02695247</v>
      </c>
      <c r="M261" s="3" t="n">
        <v>4132.8</v>
      </c>
      <c r="N261" s="4" t="n">
        <v>34.97304753</v>
      </c>
      <c r="O261" s="9" t="n">
        <f aca="false">$C$5-G261</f>
        <v>17</v>
      </c>
      <c r="P261" s="3" t="n">
        <f aca="false">H261/O261</f>
        <v>695.123529411765</v>
      </c>
      <c r="Q261" s="2" t="str">
        <f aca="false">IF(G261&lt;2010,"Legacy (pre-2010)",IF(G261&lt;=2017,"Established (2010-2017)","Emerging (2018+)"))</f>
        <v>Legacy (pre-2010)</v>
      </c>
    </row>
    <row r="262" customFormat="false" ht="15" hidden="false" customHeight="false" outlineLevel="0" collapsed="false">
      <c r="A262" s="2" t="s">
        <v>325</v>
      </c>
      <c r="B262" s="2" t="s">
        <v>15</v>
      </c>
      <c r="C262" s="2" t="s">
        <v>22</v>
      </c>
      <c r="D262" s="2" t="s">
        <v>17</v>
      </c>
      <c r="E262" s="2" t="s">
        <v>18</v>
      </c>
      <c r="F262" s="2" t="s">
        <v>19</v>
      </c>
      <c r="G262" s="2" t="n">
        <v>2017</v>
      </c>
      <c r="H262" s="3" t="n">
        <v>11783.3</v>
      </c>
      <c r="I262" s="3" t="n">
        <v>10687.5</v>
      </c>
      <c r="J262" s="3" t="n">
        <v>1099.4</v>
      </c>
      <c r="K262" s="3" t="n">
        <v>8809.8</v>
      </c>
      <c r="L262" s="4" t="n">
        <v>74.76513371</v>
      </c>
      <c r="M262" s="3" t="n">
        <v>2973.5</v>
      </c>
      <c r="N262" s="4" t="n">
        <v>25.23486629</v>
      </c>
      <c r="O262" s="9" t="n">
        <f aca="false">$C$5-G262</f>
        <v>9</v>
      </c>
      <c r="P262" s="3" t="n">
        <f aca="false">H262/O262</f>
        <v>1309.25555555556</v>
      </c>
      <c r="Q262" s="2" t="str">
        <f aca="false">IF(G262&lt;2010,"Legacy (pre-2010)",IF(G262&lt;=2017,"Established (2010-2017)","Emerging (2018+)"))</f>
        <v>Established (2010-2017)</v>
      </c>
    </row>
    <row r="263" customFormat="false" ht="15" hidden="false" customHeight="false" outlineLevel="0" collapsed="false">
      <c r="A263" s="2" t="s">
        <v>326</v>
      </c>
      <c r="B263" s="2" t="s">
        <v>21</v>
      </c>
      <c r="C263" s="2" t="s">
        <v>327</v>
      </c>
      <c r="D263" s="2" t="s">
        <v>17</v>
      </c>
      <c r="E263" s="2" t="s">
        <v>23</v>
      </c>
      <c r="F263" s="2" t="s">
        <v>19</v>
      </c>
      <c r="G263" s="2" t="n">
        <v>2012</v>
      </c>
      <c r="H263" s="3" t="n">
        <v>11721</v>
      </c>
      <c r="I263" s="3" t="n">
        <v>11036</v>
      </c>
      <c r="J263" s="3" t="n">
        <v>689</v>
      </c>
      <c r="K263" s="3" t="n">
        <v>10605.6</v>
      </c>
      <c r="L263" s="4" t="n">
        <v>90.48374712</v>
      </c>
      <c r="M263" s="3" t="n">
        <v>1115.4</v>
      </c>
      <c r="N263" s="4" t="n">
        <v>9.516252879</v>
      </c>
      <c r="O263" s="9" t="n">
        <f aca="false">$C$5-G263</f>
        <v>14</v>
      </c>
      <c r="P263" s="3" t="n">
        <f aca="false">H263/O263</f>
        <v>837.214285714286</v>
      </c>
      <c r="Q263" s="2" t="str">
        <f aca="false">IF(G263&lt;2010,"Legacy (pre-2010)",IF(G263&lt;=2017,"Established (2010-2017)","Emerging (2018+)"))</f>
        <v>Established (2010-2017)</v>
      </c>
    </row>
    <row r="264" customFormat="false" ht="15" hidden="false" customHeight="false" outlineLevel="0" collapsed="false">
      <c r="A264" s="2" t="s">
        <v>328</v>
      </c>
      <c r="B264" s="2" t="s">
        <v>15</v>
      </c>
      <c r="C264" s="2" t="s">
        <v>167</v>
      </c>
      <c r="D264" s="2" t="s">
        <v>168</v>
      </c>
      <c r="E264" s="2" t="s">
        <v>18</v>
      </c>
      <c r="F264" s="2" t="s">
        <v>19</v>
      </c>
      <c r="G264" s="2" t="n">
        <v>2019</v>
      </c>
      <c r="H264" s="3" t="n">
        <v>11715.1</v>
      </c>
      <c r="I264" s="3" t="n">
        <v>1404.1</v>
      </c>
      <c r="J264" s="3" t="n">
        <v>10305.2</v>
      </c>
      <c r="K264" s="3" t="n">
        <v>7.7</v>
      </c>
      <c r="L264" s="4" t="n">
        <v>0.06572713848</v>
      </c>
      <c r="M264" s="3" t="n">
        <v>11707.4</v>
      </c>
      <c r="N264" s="4" t="n">
        <v>99.93427286</v>
      </c>
      <c r="O264" s="9" t="n">
        <f aca="false">$C$5-G264</f>
        <v>7</v>
      </c>
      <c r="P264" s="3" t="n">
        <f aca="false">H264/O264</f>
        <v>1673.58571428571</v>
      </c>
      <c r="Q264" s="2" t="str">
        <f aca="false">IF(G264&lt;2010,"Legacy (pre-2010)",IF(G264&lt;=2017,"Established (2010-2017)","Emerging (2018+)"))</f>
        <v>Emerging (2018+)</v>
      </c>
    </row>
    <row r="265" customFormat="false" ht="15" hidden="false" customHeight="false" outlineLevel="0" collapsed="false">
      <c r="A265" s="2" t="s">
        <v>329</v>
      </c>
      <c r="B265" s="2" t="s">
        <v>15</v>
      </c>
      <c r="C265" s="2" t="s">
        <v>22</v>
      </c>
      <c r="D265" s="2" t="s">
        <v>17</v>
      </c>
      <c r="E265" s="2" t="s">
        <v>99</v>
      </c>
      <c r="F265" s="2" t="s">
        <v>19</v>
      </c>
      <c r="G265" s="2" t="n">
        <v>2015</v>
      </c>
      <c r="H265" s="3" t="n">
        <v>11678.7</v>
      </c>
      <c r="I265" s="3" t="n">
        <v>9802.2</v>
      </c>
      <c r="J265" s="3" t="n">
        <v>1883.1</v>
      </c>
      <c r="K265" s="3" t="n">
        <v>9721.8</v>
      </c>
      <c r="L265" s="4" t="n">
        <v>83.2438542</v>
      </c>
      <c r="M265" s="3" t="n">
        <v>1956.9</v>
      </c>
      <c r="N265" s="4" t="n">
        <v>16.7561458</v>
      </c>
      <c r="O265" s="9" t="n">
        <f aca="false">$C$5-G265</f>
        <v>11</v>
      </c>
      <c r="P265" s="3" t="n">
        <f aca="false">H265/O265</f>
        <v>1061.7</v>
      </c>
      <c r="Q265" s="2" t="str">
        <f aca="false">IF(G265&lt;2010,"Legacy (pre-2010)",IF(G265&lt;=2017,"Established (2010-2017)","Emerging (2018+)"))</f>
        <v>Established (2010-2017)</v>
      </c>
    </row>
    <row r="266" customFormat="false" ht="15" hidden="false" customHeight="false" outlineLevel="0" collapsed="false">
      <c r="A266" s="2" t="s">
        <v>330</v>
      </c>
      <c r="B266" s="2" t="s">
        <v>15</v>
      </c>
      <c r="C266" s="2" t="s">
        <v>331</v>
      </c>
      <c r="D266" s="2" t="s">
        <v>17</v>
      </c>
      <c r="E266" s="2" t="s">
        <v>18</v>
      </c>
      <c r="F266" s="2" t="s">
        <v>19</v>
      </c>
      <c r="G266" s="2" t="n">
        <v>2002</v>
      </c>
      <c r="H266" s="3" t="n">
        <v>11640.6</v>
      </c>
      <c r="I266" s="3" t="n">
        <v>6067.8</v>
      </c>
      <c r="J266" s="3" t="n">
        <v>5576.2</v>
      </c>
      <c r="K266" s="3" t="n">
        <v>325.2</v>
      </c>
      <c r="L266" s="4" t="n">
        <v>2.793670429</v>
      </c>
      <c r="M266" s="3" t="n">
        <v>11315.4</v>
      </c>
      <c r="N266" s="4" t="n">
        <v>97.20632957</v>
      </c>
      <c r="O266" s="9" t="n">
        <f aca="false">$C$5-G266</f>
        <v>24</v>
      </c>
      <c r="P266" s="3" t="n">
        <f aca="false">H266/O266</f>
        <v>485.025</v>
      </c>
      <c r="Q266" s="2" t="str">
        <f aca="false">IF(G266&lt;2010,"Legacy (pre-2010)",IF(G266&lt;=2017,"Established (2010-2017)","Emerging (2018+)"))</f>
        <v>Legacy (pre-2010)</v>
      </c>
    </row>
    <row r="267" customFormat="false" ht="15" hidden="false" customHeight="false" outlineLevel="0" collapsed="false">
      <c r="A267" s="2" t="s">
        <v>332</v>
      </c>
      <c r="B267" s="2" t="s">
        <v>21</v>
      </c>
      <c r="C267" s="2" t="s">
        <v>22</v>
      </c>
      <c r="D267" s="2" t="s">
        <v>17</v>
      </c>
      <c r="E267" s="2" t="s">
        <v>23</v>
      </c>
      <c r="F267" s="2" t="s">
        <v>19</v>
      </c>
      <c r="G267" s="2" t="n">
        <v>2014</v>
      </c>
      <c r="H267" s="3" t="n">
        <v>11632.9</v>
      </c>
      <c r="I267" s="3" t="n">
        <v>11637.4</v>
      </c>
      <c r="J267" s="3" t="n">
        <v>0</v>
      </c>
      <c r="K267" s="3" t="n">
        <v>11489.7</v>
      </c>
      <c r="L267" s="4" t="n">
        <v>98.76900859</v>
      </c>
      <c r="M267" s="3" t="n">
        <v>143.2</v>
      </c>
      <c r="N267" s="4" t="n">
        <v>1.230991412</v>
      </c>
      <c r="O267" s="9" t="n">
        <f aca="false">$C$5-G267</f>
        <v>12</v>
      </c>
      <c r="P267" s="3" t="n">
        <f aca="false">H267/O267</f>
        <v>969.408333333333</v>
      </c>
      <c r="Q267" s="2" t="str">
        <f aca="false">IF(G267&lt;2010,"Legacy (pre-2010)",IF(G267&lt;=2017,"Established (2010-2017)","Emerging (2018+)"))</f>
        <v>Established (2010-2017)</v>
      </c>
    </row>
    <row r="268" customFormat="false" ht="15" hidden="false" customHeight="false" outlineLevel="0" collapsed="false">
      <c r="A268" s="2" t="s">
        <v>333</v>
      </c>
      <c r="B268" s="2" t="s">
        <v>15</v>
      </c>
      <c r="C268" s="2" t="s">
        <v>22</v>
      </c>
      <c r="D268" s="2" t="s">
        <v>17</v>
      </c>
      <c r="E268" s="2" t="s">
        <v>52</v>
      </c>
      <c r="F268" s="2" t="s">
        <v>19</v>
      </c>
      <c r="G268" s="2" t="n">
        <v>1954</v>
      </c>
      <c r="H268" s="3" t="n">
        <v>11588.8</v>
      </c>
      <c r="I268" s="3" t="n">
        <v>11545</v>
      </c>
      <c r="J268" s="3" t="n">
        <v>47.3</v>
      </c>
      <c r="K268" s="3" t="n">
        <v>10653.5</v>
      </c>
      <c r="L268" s="4" t="n">
        <v>91.92927654</v>
      </c>
      <c r="M268" s="3" t="n">
        <v>935.3</v>
      </c>
      <c r="N268" s="4" t="n">
        <v>8.070723457</v>
      </c>
      <c r="O268" s="9" t="n">
        <f aca="false">$C$5-G268</f>
        <v>72</v>
      </c>
      <c r="P268" s="3" t="n">
        <f aca="false">H268/O268</f>
        <v>160.955555555556</v>
      </c>
      <c r="Q268" s="2" t="str">
        <f aca="false">IF(G268&lt;2010,"Legacy (pre-2010)",IF(G268&lt;=2017,"Established (2010-2017)","Emerging (2018+)"))</f>
        <v>Legacy (pre-2010)</v>
      </c>
    </row>
    <row r="269" customFormat="false" ht="15" hidden="false" customHeight="false" outlineLevel="0" collapsed="false">
      <c r="A269" s="2" t="s">
        <v>334</v>
      </c>
      <c r="B269" s="2" t="s">
        <v>15</v>
      </c>
      <c r="C269" s="2" t="s">
        <v>22</v>
      </c>
      <c r="D269" s="2" t="s">
        <v>17</v>
      </c>
      <c r="E269" s="2" t="s">
        <v>18</v>
      </c>
      <c r="F269" s="2" t="s">
        <v>19</v>
      </c>
      <c r="G269" s="2" t="n">
        <v>2006</v>
      </c>
      <c r="H269" s="3" t="n">
        <v>11575.2</v>
      </c>
      <c r="I269" s="3" t="n">
        <v>3209.4</v>
      </c>
      <c r="J269" s="3" t="n">
        <v>8365.8</v>
      </c>
      <c r="K269" s="3" t="n">
        <v>747.3</v>
      </c>
      <c r="L269" s="4" t="n">
        <v>6.456043956</v>
      </c>
      <c r="M269" s="3" t="n">
        <v>10827.9</v>
      </c>
      <c r="N269" s="4" t="n">
        <v>93.54395604</v>
      </c>
      <c r="O269" s="9" t="n">
        <f aca="false">$C$5-G269</f>
        <v>20</v>
      </c>
      <c r="P269" s="3" t="n">
        <f aca="false">H269/O269</f>
        <v>578.76</v>
      </c>
      <c r="Q269" s="2" t="str">
        <f aca="false">IF(G269&lt;2010,"Legacy (pre-2010)",IF(G269&lt;=2017,"Established (2010-2017)","Emerging (2018+)"))</f>
        <v>Legacy (pre-2010)</v>
      </c>
    </row>
    <row r="270" customFormat="false" ht="15" hidden="false" customHeight="false" outlineLevel="0" collapsed="false">
      <c r="A270" s="2" t="s">
        <v>335</v>
      </c>
      <c r="B270" s="2" t="s">
        <v>15</v>
      </c>
      <c r="C270" s="2" t="s">
        <v>336</v>
      </c>
      <c r="D270" s="2" t="s">
        <v>25</v>
      </c>
      <c r="E270" s="2" t="s">
        <v>26</v>
      </c>
      <c r="F270" s="2" t="s">
        <v>19</v>
      </c>
      <c r="G270" s="2" t="n">
        <v>2019</v>
      </c>
      <c r="H270" s="3" t="n">
        <v>11566.2</v>
      </c>
      <c r="I270" s="3" t="n">
        <v>7224.2</v>
      </c>
      <c r="J270" s="3" t="n">
        <v>4349.4</v>
      </c>
      <c r="K270" s="3" t="n">
        <v>4663</v>
      </c>
      <c r="L270" s="4" t="n">
        <v>40.31574761</v>
      </c>
      <c r="M270" s="3" t="n">
        <v>6903.2</v>
      </c>
      <c r="N270" s="4" t="n">
        <v>59.68425239</v>
      </c>
      <c r="O270" s="9" t="n">
        <f aca="false">$C$5-G270</f>
        <v>7</v>
      </c>
      <c r="P270" s="3" t="n">
        <f aca="false">H270/O270</f>
        <v>1652.31428571429</v>
      </c>
      <c r="Q270" s="2" t="str">
        <f aca="false">IF(G270&lt;2010,"Legacy (pre-2010)",IF(G270&lt;=2017,"Established (2010-2017)","Emerging (2018+)"))</f>
        <v>Emerging (2018+)</v>
      </c>
    </row>
    <row r="271" customFormat="false" ht="15" hidden="false" customHeight="false" outlineLevel="0" collapsed="false">
      <c r="A271" s="2" t="s">
        <v>337</v>
      </c>
      <c r="B271" s="2" t="s">
        <v>15</v>
      </c>
      <c r="C271" s="2" t="s">
        <v>338</v>
      </c>
      <c r="D271" s="2" t="s">
        <v>17</v>
      </c>
      <c r="E271" s="2" t="s">
        <v>61</v>
      </c>
      <c r="F271" s="2" t="s">
        <v>19</v>
      </c>
      <c r="G271" s="2" t="n">
        <v>2010</v>
      </c>
      <c r="H271" s="3" t="n">
        <v>11481.4</v>
      </c>
      <c r="I271" s="3" t="n">
        <v>11486.5</v>
      </c>
      <c r="J271" s="3" t="n">
        <v>0</v>
      </c>
      <c r="K271" s="3" t="n">
        <v>235.7</v>
      </c>
      <c r="L271" s="4" t="n">
        <v>2.052885537</v>
      </c>
      <c r="M271" s="3" t="n">
        <v>11245.7</v>
      </c>
      <c r="N271" s="4" t="n">
        <v>97.94711446</v>
      </c>
      <c r="O271" s="9" t="n">
        <f aca="false">$C$5-G271</f>
        <v>16</v>
      </c>
      <c r="P271" s="3" t="n">
        <f aca="false">H271/O271</f>
        <v>717.5875</v>
      </c>
      <c r="Q271" s="2" t="str">
        <f aca="false">IF(G271&lt;2010,"Legacy (pre-2010)",IF(G271&lt;=2017,"Established (2010-2017)","Emerging (2018+)"))</f>
        <v>Established (2010-2017)</v>
      </c>
    </row>
    <row r="272" customFormat="false" ht="15" hidden="false" customHeight="false" outlineLevel="0" collapsed="false">
      <c r="A272" s="2" t="s">
        <v>339</v>
      </c>
      <c r="B272" s="2" t="s">
        <v>79</v>
      </c>
      <c r="C272" s="2" t="s">
        <v>22</v>
      </c>
      <c r="D272" s="2" t="s">
        <v>17</v>
      </c>
      <c r="E272" s="2" t="s">
        <v>52</v>
      </c>
      <c r="F272" s="2" t="s">
        <v>49</v>
      </c>
      <c r="G272" s="2" t="n">
        <v>2005</v>
      </c>
      <c r="H272" s="3" t="n">
        <v>11480.4</v>
      </c>
      <c r="I272" s="3" t="n">
        <v>8241.1</v>
      </c>
      <c r="J272" s="3" t="n">
        <v>3243.6</v>
      </c>
      <c r="K272" s="3" t="n">
        <v>11420.3</v>
      </c>
      <c r="L272" s="4" t="n">
        <v>99.47649908</v>
      </c>
      <c r="M272" s="3" t="n">
        <v>60.1</v>
      </c>
      <c r="N272" s="4" t="n">
        <v>0.5235009233</v>
      </c>
      <c r="O272" s="9" t="n">
        <f aca="false">$C$5-G272</f>
        <v>21</v>
      </c>
      <c r="P272" s="3" t="n">
        <f aca="false">H272/O272</f>
        <v>546.685714285714</v>
      </c>
      <c r="Q272" s="2" t="str">
        <f aca="false">IF(G272&lt;2010,"Legacy (pre-2010)",IF(G272&lt;=2017,"Established (2010-2017)","Emerging (2018+)"))</f>
        <v>Legacy (pre-2010)</v>
      </c>
    </row>
    <row r="273" customFormat="false" ht="15" hidden="false" customHeight="false" outlineLevel="0" collapsed="false">
      <c r="A273" s="2" t="s">
        <v>340</v>
      </c>
      <c r="B273" s="2" t="s">
        <v>15</v>
      </c>
      <c r="C273" s="2" t="s">
        <v>22</v>
      </c>
      <c r="D273" s="2" t="s">
        <v>17</v>
      </c>
      <c r="E273" s="2" t="s">
        <v>18</v>
      </c>
      <c r="F273" s="2" t="s">
        <v>19</v>
      </c>
      <c r="G273" s="2" t="n">
        <v>2012</v>
      </c>
      <c r="H273" s="3" t="n">
        <v>11475.1</v>
      </c>
      <c r="I273" s="3" t="n">
        <v>3956.3</v>
      </c>
      <c r="J273" s="3" t="n">
        <v>7518.7</v>
      </c>
      <c r="K273" s="3" t="n">
        <v>545.7</v>
      </c>
      <c r="L273" s="4" t="n">
        <v>4.755514113</v>
      </c>
      <c r="M273" s="3" t="n">
        <v>10929.4</v>
      </c>
      <c r="N273" s="4" t="n">
        <v>95.24448589</v>
      </c>
      <c r="O273" s="9" t="n">
        <f aca="false">$C$5-G273</f>
        <v>14</v>
      </c>
      <c r="P273" s="3" t="n">
        <f aca="false">H273/O273</f>
        <v>819.65</v>
      </c>
      <c r="Q273" s="2" t="str">
        <f aca="false">IF(G273&lt;2010,"Legacy (pre-2010)",IF(G273&lt;=2017,"Established (2010-2017)","Emerging (2018+)"))</f>
        <v>Established (2010-2017)</v>
      </c>
    </row>
    <row r="274" customFormat="false" ht="15" hidden="false" customHeight="false" outlineLevel="0" collapsed="false">
      <c r="A274" s="2" t="s">
        <v>341</v>
      </c>
      <c r="B274" s="2" t="s">
        <v>15</v>
      </c>
      <c r="C274" s="2" t="s">
        <v>60</v>
      </c>
      <c r="D274" s="2" t="s">
        <v>258</v>
      </c>
      <c r="E274" s="2" t="s">
        <v>18</v>
      </c>
      <c r="F274" s="2" t="s">
        <v>19</v>
      </c>
      <c r="G274" s="2" t="n">
        <v>2017</v>
      </c>
      <c r="H274" s="3" t="n">
        <v>11459.5</v>
      </c>
      <c r="I274" s="3" t="n">
        <v>7069.7</v>
      </c>
      <c r="J274" s="3" t="n">
        <v>4399.6</v>
      </c>
      <c r="K274" s="3" t="n">
        <v>5201.4</v>
      </c>
      <c r="L274" s="4" t="n">
        <v>45.3894149</v>
      </c>
      <c r="M274" s="3" t="n">
        <v>6258.1</v>
      </c>
      <c r="N274" s="4" t="n">
        <v>54.6105851</v>
      </c>
      <c r="O274" s="9" t="n">
        <f aca="false">$C$5-G274</f>
        <v>9</v>
      </c>
      <c r="P274" s="3" t="n">
        <f aca="false">H274/O274</f>
        <v>1273.27777777778</v>
      </c>
      <c r="Q274" s="2" t="str">
        <f aca="false">IF(G274&lt;2010,"Legacy (pre-2010)",IF(G274&lt;=2017,"Established (2010-2017)","Emerging (2018+)"))</f>
        <v>Established (2010-2017)</v>
      </c>
    </row>
    <row r="275" customFormat="false" ht="15" hidden="false" customHeight="false" outlineLevel="0" collapsed="false">
      <c r="A275" s="2" t="s">
        <v>342</v>
      </c>
      <c r="B275" s="2" t="s">
        <v>15</v>
      </c>
      <c r="C275" s="2" t="s">
        <v>22</v>
      </c>
      <c r="D275" s="2" t="s">
        <v>17</v>
      </c>
      <c r="E275" s="2" t="s">
        <v>28</v>
      </c>
      <c r="F275" s="2" t="s">
        <v>19</v>
      </c>
      <c r="G275" s="2" t="n">
        <v>2006</v>
      </c>
      <c r="H275" s="3" t="n">
        <v>11428.5</v>
      </c>
      <c r="I275" s="3" t="n">
        <v>7562.2</v>
      </c>
      <c r="J275" s="3" t="n">
        <v>3868</v>
      </c>
      <c r="K275" s="3" t="n">
        <v>6108.9</v>
      </c>
      <c r="L275" s="4" t="n">
        <v>53.45320908</v>
      </c>
      <c r="M275" s="3" t="n">
        <v>5319.6</v>
      </c>
      <c r="N275" s="4" t="n">
        <v>46.54679092</v>
      </c>
      <c r="O275" s="9" t="n">
        <f aca="false">$C$5-G275</f>
        <v>20</v>
      </c>
      <c r="P275" s="3" t="n">
        <f aca="false">H275/O275</f>
        <v>571.425</v>
      </c>
      <c r="Q275" s="2" t="str">
        <f aca="false">IF(G275&lt;2010,"Legacy (pre-2010)",IF(G275&lt;=2017,"Established (2010-2017)","Emerging (2018+)"))</f>
        <v>Legacy (pre-2010)</v>
      </c>
    </row>
    <row r="276" customFormat="false" ht="15" hidden="false" customHeight="false" outlineLevel="0" collapsed="false">
      <c r="A276" s="2" t="s">
        <v>343</v>
      </c>
      <c r="B276" s="2" t="s">
        <v>15</v>
      </c>
      <c r="C276" s="2" t="s">
        <v>22</v>
      </c>
      <c r="D276" s="2" t="s">
        <v>17</v>
      </c>
      <c r="E276" s="2" t="s">
        <v>52</v>
      </c>
      <c r="F276" s="2" t="s">
        <v>49</v>
      </c>
      <c r="G276" s="2" t="n">
        <v>1968</v>
      </c>
      <c r="H276" s="3" t="n">
        <v>11314.2</v>
      </c>
      <c r="I276" s="3" t="n">
        <v>11274.4</v>
      </c>
      <c r="J276" s="3" t="n">
        <v>44.7</v>
      </c>
      <c r="K276" s="3" t="n">
        <v>11264.9</v>
      </c>
      <c r="L276" s="4" t="n">
        <v>99.56426438</v>
      </c>
      <c r="M276" s="3" t="n">
        <v>49.3</v>
      </c>
      <c r="N276" s="4" t="n">
        <v>0.4357356243</v>
      </c>
      <c r="O276" s="9" t="n">
        <f aca="false">$C$5-G276</f>
        <v>58</v>
      </c>
      <c r="P276" s="3" t="n">
        <f aca="false">H276/O276</f>
        <v>195.072413793103</v>
      </c>
      <c r="Q276" s="2" t="str">
        <f aca="false">IF(G276&lt;2010,"Legacy (pre-2010)",IF(G276&lt;=2017,"Established (2010-2017)","Emerging (2018+)"))</f>
        <v>Legacy (pre-2010)</v>
      </c>
    </row>
    <row r="277" customFormat="false" ht="15" hidden="false" customHeight="false" outlineLevel="0" collapsed="false">
      <c r="A277" s="2" t="s">
        <v>344</v>
      </c>
      <c r="B277" s="2" t="s">
        <v>15</v>
      </c>
      <c r="C277" s="2" t="s">
        <v>22</v>
      </c>
      <c r="D277" s="2" t="s">
        <v>17</v>
      </c>
      <c r="E277" s="2" t="s">
        <v>28</v>
      </c>
      <c r="F277" s="2" t="s">
        <v>19</v>
      </c>
      <c r="G277" s="2" t="n">
        <v>2005</v>
      </c>
      <c r="H277" s="3" t="n">
        <v>11238.2</v>
      </c>
      <c r="I277" s="3" t="n">
        <v>4609.5</v>
      </c>
      <c r="J277" s="3" t="n">
        <v>6628.7</v>
      </c>
      <c r="K277" s="3" t="n">
        <v>839.9</v>
      </c>
      <c r="L277" s="4" t="n">
        <v>7.473616771</v>
      </c>
      <c r="M277" s="3" t="n">
        <v>10398.3</v>
      </c>
      <c r="N277" s="4" t="n">
        <v>92.52638323</v>
      </c>
      <c r="O277" s="9" t="n">
        <f aca="false">$C$5-G277</f>
        <v>21</v>
      </c>
      <c r="P277" s="3" t="n">
        <f aca="false">H277/O277</f>
        <v>535.152380952381</v>
      </c>
      <c r="Q277" s="2" t="str">
        <f aca="false">IF(G277&lt;2010,"Legacy (pre-2010)",IF(G277&lt;=2017,"Established (2010-2017)","Emerging (2018+)"))</f>
        <v>Legacy (pre-2010)</v>
      </c>
    </row>
    <row r="278" customFormat="false" ht="15" hidden="false" customHeight="false" outlineLevel="0" collapsed="false">
      <c r="A278" s="2" t="s">
        <v>345</v>
      </c>
      <c r="B278" s="2" t="s">
        <v>15</v>
      </c>
      <c r="C278" s="2" t="s">
        <v>46</v>
      </c>
      <c r="D278" s="2" t="s">
        <v>47</v>
      </c>
      <c r="E278" s="2" t="s">
        <v>48</v>
      </c>
      <c r="F278" s="2" t="s">
        <v>19</v>
      </c>
      <c r="G278" s="2" t="n">
        <v>2013</v>
      </c>
      <c r="H278" s="3" t="n">
        <v>11232.6</v>
      </c>
      <c r="I278" s="3" t="n">
        <v>9653.8</v>
      </c>
      <c r="J278" s="3" t="n">
        <v>1583.7</v>
      </c>
      <c r="K278" s="3" t="n">
        <v>4076.4</v>
      </c>
      <c r="L278" s="4" t="n">
        <v>36.29079643</v>
      </c>
      <c r="M278" s="3" t="n">
        <v>7156.2</v>
      </c>
      <c r="N278" s="4" t="n">
        <v>63.70920357</v>
      </c>
      <c r="O278" s="9" t="n">
        <f aca="false">$C$5-G278</f>
        <v>13</v>
      </c>
      <c r="P278" s="3" t="n">
        <f aca="false">H278/O278</f>
        <v>864.046153846154</v>
      </c>
      <c r="Q278" s="2" t="str">
        <f aca="false">IF(G278&lt;2010,"Legacy (pre-2010)",IF(G278&lt;=2017,"Established (2010-2017)","Emerging (2018+)"))</f>
        <v>Established (2010-2017)</v>
      </c>
    </row>
    <row r="279" customFormat="false" ht="15" hidden="false" customHeight="false" outlineLevel="0" collapsed="false">
      <c r="A279" s="2" t="s">
        <v>346</v>
      </c>
      <c r="B279" s="2" t="s">
        <v>15</v>
      </c>
      <c r="C279" s="2" t="s">
        <v>22</v>
      </c>
      <c r="D279" s="2" t="s">
        <v>17</v>
      </c>
      <c r="E279" s="2" t="s">
        <v>61</v>
      </c>
      <c r="F279" s="2" t="s">
        <v>19</v>
      </c>
      <c r="G279" s="2" t="n">
        <v>2010</v>
      </c>
      <c r="H279" s="3" t="n">
        <v>11198.8</v>
      </c>
      <c r="I279" s="3" t="n">
        <v>5328.3</v>
      </c>
      <c r="J279" s="3" t="n">
        <v>5873.2</v>
      </c>
      <c r="K279" s="3" t="n">
        <v>961.9</v>
      </c>
      <c r="L279" s="4" t="n">
        <v>8.589313141</v>
      </c>
      <c r="M279" s="3" t="n">
        <v>10236.9</v>
      </c>
      <c r="N279" s="4" t="n">
        <v>91.41068686</v>
      </c>
      <c r="O279" s="9" t="n">
        <f aca="false">$C$5-G279</f>
        <v>16</v>
      </c>
      <c r="P279" s="3" t="n">
        <f aca="false">H279/O279</f>
        <v>699.925</v>
      </c>
      <c r="Q279" s="2" t="str">
        <f aca="false">IF(G279&lt;2010,"Legacy (pre-2010)",IF(G279&lt;=2017,"Established (2010-2017)","Emerging (2018+)"))</f>
        <v>Established (2010-2017)</v>
      </c>
    </row>
    <row r="280" customFormat="false" ht="15" hidden="false" customHeight="false" outlineLevel="0" collapsed="false">
      <c r="A280" s="2" t="s">
        <v>347</v>
      </c>
      <c r="B280" s="2" t="s">
        <v>15</v>
      </c>
      <c r="C280" s="2" t="s">
        <v>22</v>
      </c>
      <c r="D280" s="2" t="s">
        <v>17</v>
      </c>
      <c r="E280" s="2" t="s">
        <v>18</v>
      </c>
      <c r="F280" s="2" t="s">
        <v>19</v>
      </c>
      <c r="G280" s="2" t="n">
        <v>2006</v>
      </c>
      <c r="H280" s="3" t="n">
        <v>11196</v>
      </c>
      <c r="I280" s="3" t="n">
        <v>10287.7</v>
      </c>
      <c r="J280" s="3" t="n">
        <v>910.9</v>
      </c>
      <c r="K280" s="3" t="n">
        <v>656.6</v>
      </c>
      <c r="L280" s="4" t="n">
        <v>5.864594498</v>
      </c>
      <c r="M280" s="3" t="n">
        <v>10539.4</v>
      </c>
      <c r="N280" s="4" t="n">
        <v>94.1354055</v>
      </c>
      <c r="O280" s="9" t="n">
        <f aca="false">$C$5-G280</f>
        <v>20</v>
      </c>
      <c r="P280" s="3" t="n">
        <f aca="false">H280/O280</f>
        <v>559.8</v>
      </c>
      <c r="Q280" s="2" t="str">
        <f aca="false">IF(G280&lt;2010,"Legacy (pre-2010)",IF(G280&lt;=2017,"Established (2010-2017)","Emerging (2018+)"))</f>
        <v>Legacy (pre-2010)</v>
      </c>
    </row>
    <row r="281" customFormat="false" ht="15" hidden="false" customHeight="false" outlineLevel="0" collapsed="false">
      <c r="A281" s="2" t="s">
        <v>348</v>
      </c>
      <c r="B281" s="2" t="s">
        <v>15</v>
      </c>
      <c r="C281" s="2" t="s">
        <v>349</v>
      </c>
      <c r="D281" s="2" t="s">
        <v>17</v>
      </c>
      <c r="E281" s="2" t="s">
        <v>350</v>
      </c>
      <c r="F281" s="2" t="s">
        <v>19</v>
      </c>
      <c r="G281" s="2" t="n">
        <v>2011</v>
      </c>
      <c r="H281" s="3" t="n">
        <v>11149</v>
      </c>
      <c r="I281" s="3" t="n">
        <v>3260</v>
      </c>
      <c r="J281" s="3" t="n">
        <v>7882.2</v>
      </c>
      <c r="K281" s="3" t="n">
        <v>1292</v>
      </c>
      <c r="L281" s="4" t="n">
        <v>11.58848327</v>
      </c>
      <c r="M281" s="3" t="n">
        <v>9857</v>
      </c>
      <c r="N281" s="4" t="n">
        <v>88.41151673</v>
      </c>
      <c r="O281" s="9" t="n">
        <f aca="false">$C$5-G281</f>
        <v>15</v>
      </c>
      <c r="P281" s="3" t="n">
        <f aca="false">H281/O281</f>
        <v>743.266666666667</v>
      </c>
      <c r="Q281" s="2" t="str">
        <f aca="false">IF(G281&lt;2010,"Legacy (pre-2010)",IF(G281&lt;=2017,"Established (2010-2017)","Emerging (2018+)"))</f>
        <v>Established (2010-2017)</v>
      </c>
    </row>
    <row r="282" customFormat="false" ht="15" hidden="false" customHeight="false" outlineLevel="0" collapsed="false">
      <c r="A282" s="2" t="s">
        <v>351</v>
      </c>
      <c r="B282" s="2" t="s">
        <v>15</v>
      </c>
      <c r="C282" s="2" t="s">
        <v>34</v>
      </c>
      <c r="D282" s="2" t="s">
        <v>17</v>
      </c>
      <c r="E282" s="2" t="s">
        <v>52</v>
      </c>
      <c r="F282" s="2" t="s">
        <v>49</v>
      </c>
      <c r="G282" s="2" t="n">
        <v>1994</v>
      </c>
      <c r="H282" s="3" t="n">
        <v>11063.6</v>
      </c>
      <c r="I282" s="3" t="n">
        <v>11073.6</v>
      </c>
      <c r="J282" s="3" t="n">
        <v>0</v>
      </c>
      <c r="K282" s="3" t="n">
        <v>11061.4</v>
      </c>
      <c r="L282" s="4" t="n">
        <v>99.98011497</v>
      </c>
      <c r="M282" s="3" t="n">
        <v>2.2</v>
      </c>
      <c r="N282" s="4" t="n">
        <v>0.01988502838</v>
      </c>
      <c r="O282" s="9" t="n">
        <f aca="false">$C$5-G282</f>
        <v>32</v>
      </c>
      <c r="P282" s="3" t="n">
        <f aca="false">H282/O282</f>
        <v>345.7375</v>
      </c>
      <c r="Q282" s="2" t="str">
        <f aca="false">IF(G282&lt;2010,"Legacy (pre-2010)",IF(G282&lt;=2017,"Established (2010-2017)","Emerging (2018+)"))</f>
        <v>Legacy (pre-2010)</v>
      </c>
    </row>
    <row r="283" customFormat="false" ht="15" hidden="false" customHeight="false" outlineLevel="0" collapsed="false">
      <c r="A283" s="2" t="s">
        <v>352</v>
      </c>
      <c r="B283" s="2" t="s">
        <v>21</v>
      </c>
      <c r="C283" s="2" t="s">
        <v>22</v>
      </c>
      <c r="D283" s="2" t="s">
        <v>17</v>
      </c>
      <c r="E283" s="2" t="s">
        <v>23</v>
      </c>
      <c r="F283" s="2" t="s">
        <v>19</v>
      </c>
      <c r="G283" s="2" t="n">
        <v>1999</v>
      </c>
      <c r="H283" s="3" t="n">
        <v>11060.5</v>
      </c>
      <c r="I283" s="3" t="n">
        <v>6055.9</v>
      </c>
      <c r="J283" s="3" t="n">
        <v>5004.6</v>
      </c>
      <c r="K283" s="3" t="n">
        <v>4661.1</v>
      </c>
      <c r="L283" s="4" t="n">
        <v>42.14185615</v>
      </c>
      <c r="M283" s="3" t="n">
        <v>6399.4</v>
      </c>
      <c r="N283" s="4" t="n">
        <v>57.85814385</v>
      </c>
      <c r="O283" s="9" t="n">
        <f aca="false">$C$5-G283</f>
        <v>27</v>
      </c>
      <c r="P283" s="3" t="n">
        <f aca="false">H283/O283</f>
        <v>409.648148148148</v>
      </c>
      <c r="Q283" s="2" t="str">
        <f aca="false">IF(G283&lt;2010,"Legacy (pre-2010)",IF(G283&lt;=2017,"Established (2010-2017)","Emerging (2018+)"))</f>
        <v>Legacy (pre-2010)</v>
      </c>
    </row>
    <row r="284" customFormat="false" ht="15" hidden="false" customHeight="false" outlineLevel="0" collapsed="false">
      <c r="A284" s="2" t="s">
        <v>353</v>
      </c>
      <c r="B284" s="2" t="s">
        <v>15</v>
      </c>
      <c r="C284" s="2" t="s">
        <v>22</v>
      </c>
      <c r="D284" s="2" t="s">
        <v>17</v>
      </c>
      <c r="E284" s="2" t="s">
        <v>292</v>
      </c>
      <c r="F284" s="2" t="s">
        <v>49</v>
      </c>
      <c r="G284" s="2" t="n">
        <v>1999</v>
      </c>
      <c r="H284" s="3" t="n">
        <v>11051.4</v>
      </c>
      <c r="I284" s="3" t="n">
        <v>11056.2</v>
      </c>
      <c r="J284" s="3" t="n">
        <v>0</v>
      </c>
      <c r="K284" s="3" t="n">
        <v>11051.4</v>
      </c>
      <c r="L284" s="4" t="n">
        <v>100</v>
      </c>
      <c r="M284" s="3" t="n">
        <v>0</v>
      </c>
      <c r="N284" s="4" t="n">
        <v>0</v>
      </c>
      <c r="O284" s="9" t="n">
        <f aca="false">$C$5-G284</f>
        <v>27</v>
      </c>
      <c r="P284" s="3" t="n">
        <f aca="false">H284/O284</f>
        <v>409.311111111111</v>
      </c>
      <c r="Q284" s="2" t="str">
        <f aca="false">IF(G284&lt;2010,"Legacy (pre-2010)",IF(G284&lt;=2017,"Established (2010-2017)","Emerging (2018+)"))</f>
        <v>Legacy (pre-2010)</v>
      </c>
    </row>
    <row r="285" customFormat="false" ht="15" hidden="false" customHeight="false" outlineLevel="0" collapsed="false">
      <c r="A285" s="2" t="s">
        <v>354</v>
      </c>
      <c r="B285" s="2" t="s">
        <v>15</v>
      </c>
      <c r="C285" s="2" t="s">
        <v>72</v>
      </c>
      <c r="D285" s="2" t="s">
        <v>73</v>
      </c>
      <c r="E285" s="2" t="s">
        <v>74</v>
      </c>
      <c r="F285" s="2" t="s">
        <v>19</v>
      </c>
      <c r="G285" s="2" t="n">
        <v>2004</v>
      </c>
      <c r="H285" s="3" t="n">
        <v>11014.9</v>
      </c>
      <c r="I285" s="3" t="n">
        <v>5793.9</v>
      </c>
      <c r="J285" s="3" t="n">
        <v>5236.3</v>
      </c>
      <c r="K285" s="3" t="n">
        <v>0</v>
      </c>
      <c r="L285" s="4" t="n">
        <v>0</v>
      </c>
      <c r="M285" s="3" t="n">
        <v>11014.9</v>
      </c>
      <c r="N285" s="4" t="n">
        <v>100</v>
      </c>
      <c r="O285" s="9" t="n">
        <f aca="false">$C$5-G285</f>
        <v>22</v>
      </c>
      <c r="P285" s="3" t="n">
        <f aca="false">H285/O285</f>
        <v>500.677272727273</v>
      </c>
      <c r="Q285" s="2" t="str">
        <f aca="false">IF(G285&lt;2010,"Legacy (pre-2010)",IF(G285&lt;=2017,"Established (2010-2017)","Emerging (2018+)"))</f>
        <v>Legacy (pre-2010)</v>
      </c>
    </row>
    <row r="286" customFormat="false" ht="15" hidden="false" customHeight="false" outlineLevel="0" collapsed="false">
      <c r="A286" s="2" t="s">
        <v>355</v>
      </c>
      <c r="B286" s="2" t="s">
        <v>21</v>
      </c>
      <c r="C286" s="2" t="s">
        <v>34</v>
      </c>
      <c r="D286" s="2" t="s">
        <v>17</v>
      </c>
      <c r="E286" s="2" t="s">
        <v>23</v>
      </c>
      <c r="F286" s="2" t="s">
        <v>49</v>
      </c>
      <c r="G286" s="2" t="n">
        <v>2011</v>
      </c>
      <c r="H286" s="3" t="n">
        <v>10985.7</v>
      </c>
      <c r="I286" s="3" t="n">
        <v>0</v>
      </c>
      <c r="J286" s="3" t="n">
        <v>11024.9</v>
      </c>
      <c r="K286" s="3" t="n">
        <v>6916.9</v>
      </c>
      <c r="L286" s="4" t="n">
        <v>62.96276068</v>
      </c>
      <c r="M286" s="3" t="n">
        <v>4068.8</v>
      </c>
      <c r="N286" s="4" t="n">
        <v>37.03723932</v>
      </c>
      <c r="O286" s="9" t="n">
        <f aca="false">$C$5-G286</f>
        <v>15</v>
      </c>
      <c r="P286" s="3" t="n">
        <f aca="false">H286/O286</f>
        <v>732.38</v>
      </c>
      <c r="Q286" s="2" t="str">
        <f aca="false">IF(G286&lt;2010,"Legacy (pre-2010)",IF(G286&lt;=2017,"Established (2010-2017)","Emerging (2018+)"))</f>
        <v>Established (2010-2017)</v>
      </c>
    </row>
    <row r="287" customFormat="false" ht="15" hidden="false" customHeight="false" outlineLevel="0" collapsed="false">
      <c r="A287" s="2" t="s">
        <v>356</v>
      </c>
      <c r="B287" s="2" t="s">
        <v>15</v>
      </c>
      <c r="C287" s="2" t="s">
        <v>43</v>
      </c>
      <c r="D287" s="2" t="s">
        <v>25</v>
      </c>
      <c r="E287" s="2" t="s">
        <v>26</v>
      </c>
      <c r="F287" s="2" t="s">
        <v>19</v>
      </c>
      <c r="G287" s="2" t="n">
        <v>2019</v>
      </c>
      <c r="H287" s="3" t="n">
        <v>10974</v>
      </c>
      <c r="I287" s="3" t="n">
        <v>9511.5</v>
      </c>
      <c r="J287" s="3" t="n">
        <v>1474.2</v>
      </c>
      <c r="K287" s="3" t="n">
        <v>3645.8</v>
      </c>
      <c r="L287" s="4" t="n">
        <v>33.22216147</v>
      </c>
      <c r="M287" s="3" t="n">
        <v>7328.2</v>
      </c>
      <c r="N287" s="4" t="n">
        <v>66.77783853</v>
      </c>
      <c r="O287" s="9" t="n">
        <f aca="false">$C$5-G287</f>
        <v>7</v>
      </c>
      <c r="P287" s="3" t="n">
        <f aca="false">H287/O287</f>
        <v>1567.71428571429</v>
      </c>
      <c r="Q287" s="2" t="str">
        <f aca="false">IF(G287&lt;2010,"Legacy (pre-2010)",IF(G287&lt;=2017,"Established (2010-2017)","Emerging (2018+)"))</f>
        <v>Emerging (2018+)</v>
      </c>
    </row>
    <row r="288" customFormat="false" ht="15" hidden="false" customHeight="false" outlineLevel="0" collapsed="false">
      <c r="A288" s="2" t="s">
        <v>357</v>
      </c>
      <c r="B288" s="2" t="s">
        <v>15</v>
      </c>
      <c r="C288" s="2" t="s">
        <v>22</v>
      </c>
      <c r="D288" s="2" t="s">
        <v>17</v>
      </c>
      <c r="E288" s="2" t="s">
        <v>18</v>
      </c>
      <c r="F288" s="2" t="s">
        <v>19</v>
      </c>
      <c r="G288" s="2" t="n">
        <v>1993</v>
      </c>
      <c r="H288" s="3" t="n">
        <v>10968.8</v>
      </c>
      <c r="I288" s="3" t="n">
        <v>5006.4</v>
      </c>
      <c r="J288" s="3" t="n">
        <v>5977.1</v>
      </c>
      <c r="K288" s="3" t="n">
        <v>7034.7</v>
      </c>
      <c r="L288" s="4" t="n">
        <v>64.13372475</v>
      </c>
      <c r="M288" s="3" t="n">
        <v>3934.1</v>
      </c>
      <c r="N288" s="4" t="n">
        <v>35.86627525</v>
      </c>
      <c r="O288" s="9" t="n">
        <f aca="false">$C$5-G288</f>
        <v>33</v>
      </c>
      <c r="P288" s="3" t="n">
        <f aca="false">H288/O288</f>
        <v>332.387878787879</v>
      </c>
      <c r="Q288" s="2" t="str">
        <f aca="false">IF(G288&lt;2010,"Legacy (pre-2010)",IF(G288&lt;=2017,"Established (2010-2017)","Emerging (2018+)"))</f>
        <v>Legacy (pre-2010)</v>
      </c>
    </row>
    <row r="289" customFormat="false" ht="15" hidden="false" customHeight="false" outlineLevel="0" collapsed="false">
      <c r="A289" s="2" t="s">
        <v>358</v>
      </c>
      <c r="B289" s="2" t="s">
        <v>21</v>
      </c>
      <c r="C289" s="2" t="s">
        <v>246</v>
      </c>
      <c r="D289" s="2" t="s">
        <v>17</v>
      </c>
      <c r="E289" s="2" t="s">
        <v>58</v>
      </c>
      <c r="F289" s="2" t="s">
        <v>19</v>
      </c>
      <c r="G289" s="2" t="n">
        <v>2012</v>
      </c>
      <c r="H289" s="3" t="n">
        <v>10939.4</v>
      </c>
      <c r="I289" s="3" t="n">
        <v>9358.8</v>
      </c>
      <c r="J289" s="3" t="n">
        <v>1614.9</v>
      </c>
      <c r="K289" s="3" t="n">
        <v>10795.1</v>
      </c>
      <c r="L289" s="4" t="n">
        <v>98.68091486</v>
      </c>
      <c r="M289" s="3" t="n">
        <v>144.3</v>
      </c>
      <c r="N289" s="4" t="n">
        <v>1.319085142</v>
      </c>
      <c r="O289" s="9" t="n">
        <f aca="false">$C$5-G289</f>
        <v>14</v>
      </c>
      <c r="P289" s="3" t="n">
        <f aca="false">H289/O289</f>
        <v>781.385714285714</v>
      </c>
      <c r="Q289" s="2" t="str">
        <f aca="false">IF(G289&lt;2010,"Legacy (pre-2010)",IF(G289&lt;=2017,"Established (2010-2017)","Emerging (2018+)"))</f>
        <v>Established (2010-2017)</v>
      </c>
    </row>
    <row r="290" customFormat="false" ht="15" hidden="false" customHeight="false" outlineLevel="0" collapsed="false">
      <c r="A290" s="2" t="s">
        <v>359</v>
      </c>
      <c r="B290" s="2" t="s">
        <v>15</v>
      </c>
      <c r="C290" s="2" t="s">
        <v>22</v>
      </c>
      <c r="D290" s="2" t="s">
        <v>25</v>
      </c>
      <c r="E290" s="2" t="s">
        <v>26</v>
      </c>
      <c r="F290" s="2" t="s">
        <v>19</v>
      </c>
      <c r="G290" s="2" t="n">
        <v>2006</v>
      </c>
      <c r="H290" s="3" t="n">
        <v>10933.4</v>
      </c>
      <c r="I290" s="3" t="n">
        <v>10905.7</v>
      </c>
      <c r="J290" s="3" t="n">
        <v>38</v>
      </c>
      <c r="K290" s="3" t="n">
        <v>8.1</v>
      </c>
      <c r="L290" s="4" t="n">
        <v>0.07408491412</v>
      </c>
      <c r="M290" s="3" t="n">
        <v>10925.3</v>
      </c>
      <c r="N290" s="4" t="n">
        <v>99.92591509</v>
      </c>
      <c r="O290" s="9" t="n">
        <f aca="false">$C$5-G290</f>
        <v>20</v>
      </c>
      <c r="P290" s="3" t="n">
        <f aca="false">H290/O290</f>
        <v>546.67</v>
      </c>
      <c r="Q290" s="2" t="str">
        <f aca="false">IF(G290&lt;2010,"Legacy (pre-2010)",IF(G290&lt;=2017,"Established (2010-2017)","Emerging (2018+)"))</f>
        <v>Legacy (pre-2010)</v>
      </c>
    </row>
    <row r="291" customFormat="false" ht="15" hidden="false" customHeight="false" outlineLevel="0" collapsed="false">
      <c r="A291" s="2" t="s">
        <v>360</v>
      </c>
      <c r="B291" s="2" t="s">
        <v>15</v>
      </c>
      <c r="C291" s="2" t="s">
        <v>167</v>
      </c>
      <c r="D291" s="2" t="s">
        <v>168</v>
      </c>
      <c r="E291" s="2" t="s">
        <v>169</v>
      </c>
      <c r="F291" s="2" t="s">
        <v>49</v>
      </c>
      <c r="G291" s="2" t="n">
        <v>2011</v>
      </c>
      <c r="H291" s="3" t="n">
        <v>10914.2</v>
      </c>
      <c r="I291" s="3" t="n">
        <v>9203.4</v>
      </c>
      <c r="J291" s="3" t="n">
        <v>1721.9</v>
      </c>
      <c r="K291" s="3" t="n">
        <v>8573.2</v>
      </c>
      <c r="L291" s="4" t="n">
        <v>78.55087867</v>
      </c>
      <c r="M291" s="3" t="n">
        <v>2341</v>
      </c>
      <c r="N291" s="4" t="n">
        <v>21.44912133</v>
      </c>
      <c r="O291" s="9" t="n">
        <f aca="false">$C$5-G291</f>
        <v>15</v>
      </c>
      <c r="P291" s="3" t="n">
        <f aca="false">H291/O291</f>
        <v>727.613333333333</v>
      </c>
      <c r="Q291" s="2" t="str">
        <f aca="false">IF(G291&lt;2010,"Legacy (pre-2010)",IF(G291&lt;=2017,"Established (2010-2017)","Emerging (2018+)"))</f>
        <v>Established (2010-2017)</v>
      </c>
    </row>
    <row r="292" customFormat="false" ht="15" hidden="false" customHeight="false" outlineLevel="0" collapsed="false">
      <c r="A292" s="2" t="s">
        <v>361</v>
      </c>
      <c r="B292" s="2" t="s">
        <v>15</v>
      </c>
      <c r="C292" s="2" t="s">
        <v>129</v>
      </c>
      <c r="D292" s="2" t="s">
        <v>130</v>
      </c>
      <c r="E292" s="2" t="s">
        <v>292</v>
      </c>
      <c r="F292" s="2" t="s">
        <v>49</v>
      </c>
      <c r="G292" s="2" t="n">
        <v>1995</v>
      </c>
      <c r="H292" s="3" t="n">
        <v>10902.6</v>
      </c>
      <c r="I292" s="3" t="n">
        <v>10910.3</v>
      </c>
      <c r="J292" s="3" t="n">
        <v>0</v>
      </c>
      <c r="K292" s="3" t="n">
        <v>10773.4</v>
      </c>
      <c r="L292" s="4" t="n">
        <v>98.81496157</v>
      </c>
      <c r="M292" s="3" t="n">
        <v>129.2</v>
      </c>
      <c r="N292" s="4" t="n">
        <v>1.185038431</v>
      </c>
      <c r="O292" s="9" t="n">
        <f aca="false">$C$5-G292</f>
        <v>31</v>
      </c>
      <c r="P292" s="3" t="n">
        <f aca="false">H292/O292</f>
        <v>351.696774193548</v>
      </c>
      <c r="Q292" s="2" t="str">
        <f aca="false">IF(G292&lt;2010,"Legacy (pre-2010)",IF(G292&lt;=2017,"Established (2010-2017)","Emerging (2018+)"))</f>
        <v>Legacy (pre-2010)</v>
      </c>
    </row>
    <row r="293" customFormat="false" ht="15" hidden="false" customHeight="false" outlineLevel="0" collapsed="false">
      <c r="A293" s="2" t="s">
        <v>362</v>
      </c>
      <c r="B293" s="2" t="s">
        <v>15</v>
      </c>
      <c r="C293" s="2" t="s">
        <v>34</v>
      </c>
      <c r="D293" s="2" t="s">
        <v>17</v>
      </c>
      <c r="E293" s="2" t="s">
        <v>23</v>
      </c>
      <c r="F293" s="2" t="s">
        <v>19</v>
      </c>
      <c r="G293" s="2" t="n">
        <v>2010</v>
      </c>
      <c r="H293" s="3" t="n">
        <v>10783.2</v>
      </c>
      <c r="I293" s="3" t="n">
        <v>7412.3</v>
      </c>
      <c r="J293" s="3" t="n">
        <v>3373.2</v>
      </c>
      <c r="K293" s="3" t="n">
        <v>5819.8</v>
      </c>
      <c r="L293" s="4" t="n">
        <v>53.97099191</v>
      </c>
      <c r="M293" s="3" t="n">
        <v>4963.4</v>
      </c>
      <c r="N293" s="4" t="n">
        <v>46.02900809</v>
      </c>
      <c r="O293" s="9" t="n">
        <f aca="false">$C$5-G293</f>
        <v>16</v>
      </c>
      <c r="P293" s="3" t="n">
        <f aca="false">H293/O293</f>
        <v>673.95</v>
      </c>
      <c r="Q293" s="2" t="str">
        <f aca="false">IF(G293&lt;2010,"Legacy (pre-2010)",IF(G293&lt;=2017,"Established (2010-2017)","Emerging (2018+)"))</f>
        <v>Established (2010-2017)</v>
      </c>
    </row>
    <row r="294" customFormat="false" ht="15" hidden="false" customHeight="false" outlineLevel="0" collapsed="false">
      <c r="A294" s="2" t="s">
        <v>363</v>
      </c>
      <c r="B294" s="2" t="s">
        <v>15</v>
      </c>
      <c r="C294" s="2" t="s">
        <v>22</v>
      </c>
      <c r="D294" s="2" t="s">
        <v>25</v>
      </c>
      <c r="E294" s="2" t="s">
        <v>26</v>
      </c>
      <c r="F294" s="2" t="s">
        <v>19</v>
      </c>
      <c r="G294" s="2" t="n">
        <v>1999</v>
      </c>
      <c r="H294" s="3" t="n">
        <v>10776.2</v>
      </c>
      <c r="I294" s="3" t="n">
        <v>10712.5</v>
      </c>
      <c r="J294" s="3" t="n">
        <v>63.9</v>
      </c>
      <c r="K294" s="3" t="n">
        <v>291.9</v>
      </c>
      <c r="L294" s="4" t="n">
        <v>2.708747054</v>
      </c>
      <c r="M294" s="3" t="n">
        <v>10484.3</v>
      </c>
      <c r="N294" s="4" t="n">
        <v>97.29125295</v>
      </c>
      <c r="O294" s="9" t="n">
        <f aca="false">$C$5-G294</f>
        <v>27</v>
      </c>
      <c r="P294" s="3" t="n">
        <f aca="false">H294/O294</f>
        <v>399.118518518519</v>
      </c>
      <c r="Q294" s="2" t="str">
        <f aca="false">IF(G294&lt;2010,"Legacy (pre-2010)",IF(G294&lt;=2017,"Established (2010-2017)","Emerging (2018+)"))</f>
        <v>Legacy (pre-2010)</v>
      </c>
    </row>
    <row r="295" customFormat="false" ht="15" hidden="false" customHeight="false" outlineLevel="0" collapsed="false">
      <c r="A295" s="2" t="s">
        <v>364</v>
      </c>
      <c r="B295" s="2" t="s">
        <v>15</v>
      </c>
      <c r="C295" s="2" t="s">
        <v>22</v>
      </c>
      <c r="D295" s="2" t="s">
        <v>25</v>
      </c>
      <c r="E295" s="2" t="s">
        <v>26</v>
      </c>
      <c r="F295" s="2" t="s">
        <v>19</v>
      </c>
      <c r="G295" s="2" t="n">
        <v>2010</v>
      </c>
      <c r="H295" s="3" t="n">
        <v>10772</v>
      </c>
      <c r="I295" s="3" t="n">
        <v>595.6</v>
      </c>
      <c r="J295" s="3" t="n">
        <v>10180.6</v>
      </c>
      <c r="K295" s="3" t="n">
        <v>689.2</v>
      </c>
      <c r="L295" s="4" t="n">
        <v>6.398069068</v>
      </c>
      <c r="M295" s="3" t="n">
        <v>10082.8</v>
      </c>
      <c r="N295" s="4" t="n">
        <v>93.60193093</v>
      </c>
      <c r="O295" s="9" t="n">
        <f aca="false">$C$5-G295</f>
        <v>16</v>
      </c>
      <c r="P295" s="3" t="n">
        <f aca="false">H295/O295</f>
        <v>673.25</v>
      </c>
      <c r="Q295" s="2" t="str">
        <f aca="false">IF(G295&lt;2010,"Legacy (pre-2010)",IF(G295&lt;=2017,"Established (2010-2017)","Emerging (2018+)"))</f>
        <v>Established (2010-2017)</v>
      </c>
    </row>
    <row r="296" customFormat="false" ht="15" hidden="false" customHeight="false" outlineLevel="0" collapsed="false">
      <c r="A296" s="2" t="s">
        <v>365</v>
      </c>
      <c r="B296" s="2" t="s">
        <v>15</v>
      </c>
      <c r="C296" s="2" t="s">
        <v>22</v>
      </c>
      <c r="D296" s="2" t="s">
        <v>17</v>
      </c>
      <c r="E296" s="2" t="s">
        <v>52</v>
      </c>
      <c r="F296" s="2" t="s">
        <v>49</v>
      </c>
      <c r="G296" s="2" t="n">
        <v>1984</v>
      </c>
      <c r="H296" s="3" t="n">
        <v>10771.3</v>
      </c>
      <c r="I296" s="3" t="n">
        <v>10772.2</v>
      </c>
      <c r="J296" s="3" t="n">
        <v>0.6</v>
      </c>
      <c r="K296" s="3" t="n">
        <v>10575.9</v>
      </c>
      <c r="L296" s="4" t="n">
        <v>98.18591999</v>
      </c>
      <c r="M296" s="3" t="n">
        <v>195.4</v>
      </c>
      <c r="N296" s="4" t="n">
        <v>1.814080009</v>
      </c>
      <c r="O296" s="9" t="n">
        <f aca="false">$C$5-G296</f>
        <v>42</v>
      </c>
      <c r="P296" s="3" t="n">
        <f aca="false">H296/O296</f>
        <v>256.459523809524</v>
      </c>
      <c r="Q296" s="2" t="str">
        <f aca="false">IF(G296&lt;2010,"Legacy (pre-2010)",IF(G296&lt;=2017,"Established (2010-2017)","Emerging (2018+)"))</f>
        <v>Legacy (pre-2010)</v>
      </c>
    </row>
    <row r="297" customFormat="false" ht="15" hidden="false" customHeight="false" outlineLevel="0" collapsed="false">
      <c r="A297" s="2" t="s">
        <v>366</v>
      </c>
      <c r="B297" s="2" t="s">
        <v>15</v>
      </c>
      <c r="C297" s="2" t="s">
        <v>22</v>
      </c>
      <c r="D297" s="2" t="s">
        <v>17</v>
      </c>
      <c r="E297" s="2" t="s">
        <v>52</v>
      </c>
      <c r="F297" s="2" t="s">
        <v>49</v>
      </c>
      <c r="G297" s="2" t="n">
        <v>2004</v>
      </c>
      <c r="H297" s="3" t="n">
        <v>10767.6</v>
      </c>
      <c r="I297" s="3" t="n">
        <v>1893.8</v>
      </c>
      <c r="J297" s="3" t="n">
        <v>8878.2</v>
      </c>
      <c r="K297" s="3" t="n">
        <v>10569.4</v>
      </c>
      <c r="L297" s="4" t="n">
        <v>98.15929269</v>
      </c>
      <c r="M297" s="3" t="n">
        <v>198.2</v>
      </c>
      <c r="N297" s="4" t="n">
        <v>1.840707307</v>
      </c>
      <c r="O297" s="9" t="n">
        <f aca="false">$C$5-G297</f>
        <v>22</v>
      </c>
      <c r="P297" s="3" t="n">
        <f aca="false">H297/O297</f>
        <v>489.436363636364</v>
      </c>
      <c r="Q297" s="2" t="str">
        <f aca="false">IF(G297&lt;2010,"Legacy (pre-2010)",IF(G297&lt;=2017,"Established (2010-2017)","Emerging (2018+)"))</f>
        <v>Legacy (pre-2010)</v>
      </c>
    </row>
    <row r="298" customFormat="false" ht="15" hidden="false" customHeight="false" outlineLevel="0" collapsed="false">
      <c r="A298" s="2" t="s">
        <v>367</v>
      </c>
      <c r="B298" s="2" t="s">
        <v>15</v>
      </c>
      <c r="C298" s="2" t="s">
        <v>22</v>
      </c>
      <c r="D298" s="2" t="s">
        <v>17</v>
      </c>
      <c r="E298" s="2" t="s">
        <v>52</v>
      </c>
      <c r="F298" s="2" t="s">
        <v>49</v>
      </c>
      <c r="G298" s="2" t="n">
        <v>1995</v>
      </c>
      <c r="H298" s="3" t="n">
        <v>10760.4</v>
      </c>
      <c r="I298" s="3" t="n">
        <v>10630.4</v>
      </c>
      <c r="J298" s="3" t="n">
        <v>133.8</v>
      </c>
      <c r="K298" s="3" t="n">
        <v>10584.7</v>
      </c>
      <c r="L298" s="4" t="n">
        <v>98.36716107</v>
      </c>
      <c r="M298" s="3" t="n">
        <v>175.7</v>
      </c>
      <c r="N298" s="4" t="n">
        <v>1.632838928</v>
      </c>
      <c r="O298" s="9" t="n">
        <f aca="false">$C$5-G298</f>
        <v>31</v>
      </c>
      <c r="P298" s="3" t="n">
        <f aca="false">H298/O298</f>
        <v>347.109677419355</v>
      </c>
      <c r="Q298" s="2" t="str">
        <f aca="false">IF(G298&lt;2010,"Legacy (pre-2010)",IF(G298&lt;=2017,"Established (2010-2017)","Emerging (2018+)"))</f>
        <v>Legacy (pre-2010)</v>
      </c>
    </row>
    <row r="299" customFormat="false" ht="15" hidden="false" customHeight="false" outlineLevel="0" collapsed="false">
      <c r="A299" s="2" t="s">
        <v>368</v>
      </c>
      <c r="B299" s="2" t="s">
        <v>21</v>
      </c>
      <c r="C299" s="2" t="s">
        <v>22</v>
      </c>
      <c r="D299" s="2" t="s">
        <v>17</v>
      </c>
      <c r="E299" s="2" t="s">
        <v>28</v>
      </c>
      <c r="F299" s="2" t="s">
        <v>19</v>
      </c>
      <c r="G299" s="2" t="n">
        <v>2018</v>
      </c>
      <c r="H299" s="3" t="n">
        <v>10756.4</v>
      </c>
      <c r="I299" s="3" t="n">
        <v>7776.1</v>
      </c>
      <c r="J299" s="3" t="n">
        <v>2980.3</v>
      </c>
      <c r="K299" s="3" t="n">
        <v>3834.9</v>
      </c>
      <c r="L299" s="4" t="n">
        <v>35.65226284</v>
      </c>
      <c r="M299" s="3" t="n">
        <v>6921.5</v>
      </c>
      <c r="N299" s="4" t="n">
        <v>64.34773716</v>
      </c>
      <c r="O299" s="9" t="n">
        <f aca="false">$C$5-G299</f>
        <v>8</v>
      </c>
      <c r="P299" s="3" t="n">
        <f aca="false">H299/O299</f>
        <v>1344.55</v>
      </c>
      <c r="Q299" s="2" t="str">
        <f aca="false">IF(G299&lt;2010,"Legacy (pre-2010)",IF(G299&lt;=2017,"Established (2010-2017)","Emerging (2018+)"))</f>
        <v>Emerging (2018+)</v>
      </c>
    </row>
    <row r="300" customFormat="false" ht="15" hidden="false" customHeight="false" outlineLevel="0" collapsed="false">
      <c r="A300" s="2" t="s">
        <v>369</v>
      </c>
      <c r="B300" s="2" t="s">
        <v>21</v>
      </c>
      <c r="C300" s="2" t="s">
        <v>22</v>
      </c>
      <c r="D300" s="2" t="s">
        <v>17</v>
      </c>
      <c r="E300" s="2" t="s">
        <v>28</v>
      </c>
      <c r="F300" s="2" t="s">
        <v>19</v>
      </c>
      <c r="G300" s="2" t="n">
        <v>2002</v>
      </c>
      <c r="H300" s="3" t="n">
        <v>10731.7</v>
      </c>
      <c r="I300" s="3" t="n">
        <v>6224.9</v>
      </c>
      <c r="J300" s="3" t="n">
        <v>4506.8</v>
      </c>
      <c r="K300" s="3" t="n">
        <v>3239.2</v>
      </c>
      <c r="L300" s="4" t="n">
        <v>30.18347513</v>
      </c>
      <c r="M300" s="3" t="n">
        <v>7492.5</v>
      </c>
      <c r="N300" s="4" t="n">
        <v>69.81652487</v>
      </c>
      <c r="O300" s="9" t="n">
        <f aca="false">$C$5-G300</f>
        <v>24</v>
      </c>
      <c r="P300" s="3" t="n">
        <f aca="false">H300/O300</f>
        <v>447.154166666667</v>
      </c>
      <c r="Q300" s="2" t="str">
        <f aca="false">IF(G300&lt;2010,"Legacy (pre-2010)",IF(G300&lt;=2017,"Established (2010-2017)","Emerging (2018+)"))</f>
        <v>Legacy (pre-2010)</v>
      </c>
    </row>
    <row r="301" customFormat="false" ht="15" hidden="false" customHeight="false" outlineLevel="0" collapsed="false">
      <c r="A301" s="2" t="s">
        <v>370</v>
      </c>
      <c r="B301" s="2" t="s">
        <v>21</v>
      </c>
      <c r="C301" s="2" t="s">
        <v>22</v>
      </c>
      <c r="D301" s="2" t="s">
        <v>17</v>
      </c>
      <c r="E301" s="2" t="s">
        <v>28</v>
      </c>
      <c r="F301" s="2" t="s">
        <v>19</v>
      </c>
      <c r="G301" s="2" t="n">
        <v>2014</v>
      </c>
      <c r="H301" s="3" t="n">
        <v>10712.8</v>
      </c>
      <c r="I301" s="3" t="n">
        <v>6060.2</v>
      </c>
      <c r="J301" s="3" t="n">
        <v>4663.4</v>
      </c>
      <c r="K301" s="3" t="n">
        <v>4257.4</v>
      </c>
      <c r="L301" s="4" t="n">
        <v>39.74124412</v>
      </c>
      <c r="M301" s="3" t="n">
        <v>6455.4</v>
      </c>
      <c r="N301" s="4" t="n">
        <v>60.25875588</v>
      </c>
      <c r="O301" s="9" t="n">
        <f aca="false">$C$5-G301</f>
        <v>12</v>
      </c>
      <c r="P301" s="3" t="n">
        <f aca="false">H301/O301</f>
        <v>892.733333333333</v>
      </c>
      <c r="Q301" s="2" t="str">
        <f aca="false">IF(G301&lt;2010,"Legacy (pre-2010)",IF(G301&lt;=2017,"Established (2010-2017)","Emerging (2018+)"))</f>
        <v>Established (2010-2017)</v>
      </c>
    </row>
    <row r="302" customFormat="false" ht="15" hidden="false" customHeight="false" outlineLevel="0" collapsed="false">
      <c r="A302" s="2" t="s">
        <v>371</v>
      </c>
      <c r="B302" s="2" t="s">
        <v>79</v>
      </c>
      <c r="C302" s="2" t="s">
        <v>34</v>
      </c>
      <c r="D302" s="2" t="s">
        <v>17</v>
      </c>
      <c r="E302" s="2" t="s">
        <v>23</v>
      </c>
      <c r="F302" s="2" t="s">
        <v>49</v>
      </c>
      <c r="G302" s="2" t="n">
        <v>2012</v>
      </c>
      <c r="H302" s="3" t="n">
        <v>10711.2</v>
      </c>
      <c r="I302" s="3" t="n">
        <v>10381.4</v>
      </c>
      <c r="J302" s="3" t="n">
        <v>333.5</v>
      </c>
      <c r="K302" s="3" t="n">
        <v>73.4</v>
      </c>
      <c r="L302" s="4" t="n">
        <v>0.6852640227</v>
      </c>
      <c r="M302" s="3" t="n">
        <v>10637.8</v>
      </c>
      <c r="N302" s="4" t="n">
        <v>99.31473598</v>
      </c>
      <c r="O302" s="9" t="n">
        <f aca="false">$C$5-G302</f>
        <v>14</v>
      </c>
      <c r="P302" s="3" t="n">
        <f aca="false">H302/O302</f>
        <v>765.085714285714</v>
      </c>
      <c r="Q302" s="2" t="str">
        <f aca="false">IF(G302&lt;2010,"Legacy (pre-2010)",IF(G302&lt;=2017,"Established (2010-2017)","Emerging (2018+)"))</f>
        <v>Established (2010-2017)</v>
      </c>
    </row>
    <row r="303" customFormat="false" ht="15" hidden="false" customHeight="false" outlineLevel="0" collapsed="false">
      <c r="A303" s="2" t="s">
        <v>372</v>
      </c>
      <c r="B303" s="2" t="s">
        <v>15</v>
      </c>
      <c r="C303" s="2" t="s">
        <v>34</v>
      </c>
      <c r="D303" s="2" t="s">
        <v>17</v>
      </c>
      <c r="E303" s="2" t="s">
        <v>52</v>
      </c>
      <c r="F303" s="2" t="s">
        <v>19</v>
      </c>
      <c r="G303" s="2" t="n">
        <v>1967</v>
      </c>
      <c r="H303" s="3" t="n">
        <v>10696.6</v>
      </c>
      <c r="I303" s="3" t="n">
        <v>8379.6</v>
      </c>
      <c r="J303" s="3" t="n">
        <v>2317</v>
      </c>
      <c r="K303" s="3" t="n">
        <v>8204.5</v>
      </c>
      <c r="L303" s="4" t="n">
        <v>76.70194267</v>
      </c>
      <c r="M303" s="3" t="n">
        <v>2492.1</v>
      </c>
      <c r="N303" s="4" t="n">
        <v>23.29805733</v>
      </c>
      <c r="O303" s="9" t="n">
        <f aca="false">$C$5-G303</f>
        <v>59</v>
      </c>
      <c r="P303" s="3" t="n">
        <f aca="false">H303/O303</f>
        <v>181.298305084746</v>
      </c>
      <c r="Q303" s="2" t="str">
        <f aca="false">IF(G303&lt;2010,"Legacy (pre-2010)",IF(G303&lt;=2017,"Established (2010-2017)","Emerging (2018+)"))</f>
        <v>Legacy (pre-2010)</v>
      </c>
    </row>
    <row r="304" customFormat="false" ht="15" hidden="false" customHeight="false" outlineLevel="0" collapsed="false">
      <c r="A304" s="2" t="s">
        <v>373</v>
      </c>
      <c r="B304" s="2" t="s">
        <v>15</v>
      </c>
      <c r="C304" s="2" t="s">
        <v>205</v>
      </c>
      <c r="D304" s="2" t="s">
        <v>17</v>
      </c>
      <c r="E304" s="2" t="s">
        <v>52</v>
      </c>
      <c r="F304" s="2" t="s">
        <v>49</v>
      </c>
      <c r="G304" s="2" t="n">
        <v>1979</v>
      </c>
      <c r="H304" s="3" t="n">
        <v>10616.1</v>
      </c>
      <c r="I304" s="3" t="n">
        <v>10020.5</v>
      </c>
      <c r="J304" s="3" t="n">
        <v>599.3</v>
      </c>
      <c r="K304" s="3" t="n">
        <v>9771.3</v>
      </c>
      <c r="L304" s="4" t="n">
        <v>92.04227541</v>
      </c>
      <c r="M304" s="3" t="n">
        <v>844.8</v>
      </c>
      <c r="N304" s="4" t="n">
        <v>7.957724588</v>
      </c>
      <c r="O304" s="9" t="n">
        <f aca="false">$C$5-G304</f>
        <v>47</v>
      </c>
      <c r="P304" s="3" t="n">
        <f aca="false">H304/O304</f>
        <v>225.874468085106</v>
      </c>
      <c r="Q304" s="2" t="str">
        <f aca="false">IF(G304&lt;2010,"Legacy (pre-2010)",IF(G304&lt;=2017,"Established (2010-2017)","Emerging (2018+)"))</f>
        <v>Legacy (pre-2010)</v>
      </c>
    </row>
    <row r="305" customFormat="false" ht="15" hidden="false" customHeight="false" outlineLevel="0" collapsed="false">
      <c r="A305" s="2" t="s">
        <v>374</v>
      </c>
      <c r="B305" s="2" t="s">
        <v>15</v>
      </c>
      <c r="C305" s="2" t="s">
        <v>22</v>
      </c>
      <c r="D305" s="2" t="s">
        <v>25</v>
      </c>
      <c r="E305" s="2" t="s">
        <v>152</v>
      </c>
      <c r="F305" s="2" t="s">
        <v>49</v>
      </c>
      <c r="G305" s="2" t="n">
        <v>1996</v>
      </c>
      <c r="H305" s="3" t="n">
        <v>10607</v>
      </c>
      <c r="I305" s="3" t="n">
        <v>10520.3</v>
      </c>
      <c r="J305" s="3" t="n">
        <v>92.7</v>
      </c>
      <c r="K305" s="3" t="n">
        <v>8371.3</v>
      </c>
      <c r="L305" s="4" t="n">
        <v>78.92240973</v>
      </c>
      <c r="M305" s="3" t="n">
        <v>2235.7</v>
      </c>
      <c r="N305" s="4" t="n">
        <v>21.07759027</v>
      </c>
      <c r="O305" s="9" t="n">
        <f aca="false">$C$5-G305</f>
        <v>30</v>
      </c>
      <c r="P305" s="3" t="n">
        <f aca="false">H305/O305</f>
        <v>353.566666666667</v>
      </c>
      <c r="Q305" s="2" t="str">
        <f aca="false">IF(G305&lt;2010,"Legacy (pre-2010)",IF(G305&lt;=2017,"Established (2010-2017)","Emerging (2018+)"))</f>
        <v>Legacy (pre-2010)</v>
      </c>
    </row>
    <row r="306" customFormat="false" ht="15" hidden="false" customHeight="false" outlineLevel="0" collapsed="false">
      <c r="A306" s="2" t="s">
        <v>375</v>
      </c>
      <c r="B306" s="2" t="s">
        <v>15</v>
      </c>
      <c r="C306" s="2" t="s">
        <v>22</v>
      </c>
      <c r="D306" s="2" t="s">
        <v>17</v>
      </c>
      <c r="E306" s="2" t="s">
        <v>52</v>
      </c>
      <c r="F306" s="2" t="s">
        <v>49</v>
      </c>
      <c r="G306" s="2" t="n">
        <v>1994</v>
      </c>
      <c r="H306" s="3" t="n">
        <v>10571.1</v>
      </c>
      <c r="I306" s="3" t="n">
        <v>10570.2</v>
      </c>
      <c r="J306" s="3" t="n">
        <v>4.5</v>
      </c>
      <c r="K306" s="3" t="n">
        <v>10555.6</v>
      </c>
      <c r="L306" s="4" t="n">
        <v>99.85337382</v>
      </c>
      <c r="M306" s="3" t="n">
        <v>15.5</v>
      </c>
      <c r="N306" s="4" t="n">
        <v>0.1466261789</v>
      </c>
      <c r="O306" s="9" t="n">
        <f aca="false">$C$5-G306</f>
        <v>32</v>
      </c>
      <c r="P306" s="3" t="n">
        <f aca="false">H306/O306</f>
        <v>330.346875</v>
      </c>
      <c r="Q306" s="2" t="str">
        <f aca="false">IF(G306&lt;2010,"Legacy (pre-2010)",IF(G306&lt;=2017,"Established (2010-2017)","Emerging (2018+)"))</f>
        <v>Legacy (pre-2010)</v>
      </c>
    </row>
    <row r="307" customFormat="false" ht="15" hidden="false" customHeight="false" outlineLevel="0" collapsed="false">
      <c r="A307" s="2" t="s">
        <v>376</v>
      </c>
      <c r="B307" s="2" t="s">
        <v>15</v>
      </c>
      <c r="C307" s="2" t="s">
        <v>34</v>
      </c>
      <c r="D307" s="2" t="s">
        <v>17</v>
      </c>
      <c r="E307" s="2" t="s">
        <v>52</v>
      </c>
      <c r="F307" s="2" t="s">
        <v>49</v>
      </c>
      <c r="G307" s="2" t="n">
        <v>2012</v>
      </c>
      <c r="H307" s="3" t="n">
        <v>10489.6</v>
      </c>
      <c r="I307" s="3" t="n">
        <v>10191.7</v>
      </c>
      <c r="J307" s="3" t="n">
        <v>301.5</v>
      </c>
      <c r="K307" s="3" t="n">
        <v>10165.9</v>
      </c>
      <c r="L307" s="4" t="n">
        <v>96.91408633</v>
      </c>
      <c r="M307" s="3" t="n">
        <v>323.7</v>
      </c>
      <c r="N307" s="4" t="n">
        <v>3.085913667</v>
      </c>
      <c r="O307" s="9" t="n">
        <f aca="false">$C$5-G307</f>
        <v>14</v>
      </c>
      <c r="P307" s="3" t="n">
        <f aca="false">H307/O307</f>
        <v>749.257142857143</v>
      </c>
      <c r="Q307" s="2" t="str">
        <f aca="false">IF(G307&lt;2010,"Legacy (pre-2010)",IF(G307&lt;=2017,"Established (2010-2017)","Emerging (2018+)"))</f>
        <v>Established (2010-2017)</v>
      </c>
    </row>
    <row r="308" customFormat="false" ht="15" hidden="false" customHeight="false" outlineLevel="0" collapsed="false">
      <c r="A308" s="2" t="s">
        <v>377</v>
      </c>
      <c r="B308" s="2" t="s">
        <v>21</v>
      </c>
      <c r="C308" s="2" t="s">
        <v>223</v>
      </c>
      <c r="D308" s="2" t="s">
        <v>25</v>
      </c>
      <c r="E308" s="2" t="s">
        <v>83</v>
      </c>
      <c r="F308" s="2" t="s">
        <v>19</v>
      </c>
      <c r="G308" s="2" t="n">
        <v>2019</v>
      </c>
      <c r="H308" s="3" t="n">
        <v>10476.9</v>
      </c>
      <c r="I308" s="3" t="n">
        <v>3977.8</v>
      </c>
      <c r="J308" s="3" t="n">
        <v>6499.1</v>
      </c>
      <c r="K308" s="3" t="n">
        <v>2597.3</v>
      </c>
      <c r="L308" s="4" t="n">
        <v>24.79073008</v>
      </c>
      <c r="M308" s="3" t="n">
        <v>7879.6</v>
      </c>
      <c r="N308" s="4" t="n">
        <v>75.20926992</v>
      </c>
      <c r="O308" s="9" t="n">
        <f aca="false">$C$5-G308</f>
        <v>7</v>
      </c>
      <c r="P308" s="3" t="n">
        <f aca="false">H308/O308</f>
        <v>1496.7</v>
      </c>
      <c r="Q308" s="2" t="str">
        <f aca="false">IF(G308&lt;2010,"Legacy (pre-2010)",IF(G308&lt;=2017,"Established (2010-2017)","Emerging (2018+)"))</f>
        <v>Emerging (2018+)</v>
      </c>
    </row>
    <row r="309" customFormat="false" ht="15" hidden="false" customHeight="false" outlineLevel="0" collapsed="false">
      <c r="A309" s="2" t="s">
        <v>378</v>
      </c>
      <c r="B309" s="2" t="s">
        <v>15</v>
      </c>
      <c r="C309" s="2" t="s">
        <v>34</v>
      </c>
      <c r="D309" s="2" t="s">
        <v>17</v>
      </c>
      <c r="E309" s="2" t="s">
        <v>18</v>
      </c>
      <c r="F309" s="2" t="s">
        <v>19</v>
      </c>
      <c r="G309" s="2" t="n">
        <v>2006</v>
      </c>
      <c r="H309" s="3" t="n">
        <v>10449</v>
      </c>
      <c r="I309" s="3" t="n">
        <v>7062.7</v>
      </c>
      <c r="J309" s="3" t="n">
        <v>3394.7</v>
      </c>
      <c r="K309" s="3" t="n">
        <v>6337.8</v>
      </c>
      <c r="L309" s="4" t="n">
        <v>60.6546081</v>
      </c>
      <c r="M309" s="3" t="n">
        <v>4111.2</v>
      </c>
      <c r="N309" s="4" t="n">
        <v>39.3453919</v>
      </c>
      <c r="O309" s="9" t="n">
        <f aca="false">$C$5-G309</f>
        <v>20</v>
      </c>
      <c r="P309" s="3" t="n">
        <f aca="false">H309/O309</f>
        <v>522.45</v>
      </c>
      <c r="Q309" s="2" t="str">
        <f aca="false">IF(G309&lt;2010,"Legacy (pre-2010)",IF(G309&lt;=2017,"Established (2010-2017)","Emerging (2018+)"))</f>
        <v>Legacy (pre-2010)</v>
      </c>
    </row>
    <row r="310" customFormat="false" ht="15" hidden="false" customHeight="false" outlineLevel="0" collapsed="false">
      <c r="A310" s="2" t="s">
        <v>379</v>
      </c>
      <c r="B310" s="2" t="s">
        <v>15</v>
      </c>
      <c r="C310" s="2" t="s">
        <v>22</v>
      </c>
      <c r="D310" s="2" t="s">
        <v>17</v>
      </c>
      <c r="E310" s="2" t="s">
        <v>28</v>
      </c>
      <c r="F310" s="2" t="s">
        <v>19</v>
      </c>
      <c r="G310" s="2" t="n">
        <v>2015</v>
      </c>
      <c r="H310" s="3" t="n">
        <v>10368.7</v>
      </c>
      <c r="I310" s="3" t="n">
        <v>9179.2</v>
      </c>
      <c r="J310" s="3" t="n">
        <v>1201.2</v>
      </c>
      <c r="K310" s="3" t="n">
        <v>8970.6</v>
      </c>
      <c r="L310" s="4" t="n">
        <v>86.51614957</v>
      </c>
      <c r="M310" s="3" t="n">
        <v>1398.1</v>
      </c>
      <c r="N310" s="4" t="n">
        <v>13.48385043</v>
      </c>
      <c r="O310" s="9" t="n">
        <f aca="false">$C$5-G310</f>
        <v>11</v>
      </c>
      <c r="P310" s="3" t="n">
        <f aca="false">H310/O310</f>
        <v>942.609090909091</v>
      </c>
      <c r="Q310" s="2" t="str">
        <f aca="false">IF(G310&lt;2010,"Legacy (pre-2010)",IF(G310&lt;=2017,"Established (2010-2017)","Emerging (2018+)"))</f>
        <v>Established (2010-2017)</v>
      </c>
    </row>
    <row r="311" customFormat="false" ht="15" hidden="false" customHeight="false" outlineLevel="0" collapsed="false">
      <c r="A311" s="2" t="s">
        <v>380</v>
      </c>
      <c r="B311" s="2" t="s">
        <v>15</v>
      </c>
      <c r="C311" s="2" t="s">
        <v>22</v>
      </c>
      <c r="D311" s="2" t="s">
        <v>25</v>
      </c>
      <c r="E311" s="2" t="s">
        <v>26</v>
      </c>
      <c r="F311" s="2" t="s">
        <v>19</v>
      </c>
      <c r="G311" s="2" t="n">
        <v>2004</v>
      </c>
      <c r="H311" s="3" t="n">
        <v>10352.8</v>
      </c>
      <c r="I311" s="3" t="n">
        <v>1937.7</v>
      </c>
      <c r="J311" s="3" t="n">
        <v>8415.1</v>
      </c>
      <c r="K311" s="3" t="n">
        <v>410.2</v>
      </c>
      <c r="L311" s="4" t="n">
        <v>3.962213121</v>
      </c>
      <c r="M311" s="3" t="n">
        <v>9942.6</v>
      </c>
      <c r="N311" s="4" t="n">
        <v>96.03778688</v>
      </c>
      <c r="O311" s="9" t="n">
        <f aca="false">$C$5-G311</f>
        <v>22</v>
      </c>
      <c r="P311" s="3" t="n">
        <f aca="false">H311/O311</f>
        <v>470.581818181818</v>
      </c>
      <c r="Q311" s="2" t="str">
        <f aca="false">IF(G311&lt;2010,"Legacy (pre-2010)",IF(G311&lt;=2017,"Established (2010-2017)","Emerging (2018+)"))</f>
        <v>Legacy (pre-2010)</v>
      </c>
    </row>
    <row r="312" customFormat="false" ht="15" hidden="false" customHeight="false" outlineLevel="0" collapsed="false">
      <c r="A312" s="2" t="s">
        <v>381</v>
      </c>
      <c r="B312" s="2" t="s">
        <v>15</v>
      </c>
      <c r="C312" s="2" t="s">
        <v>382</v>
      </c>
      <c r="D312" s="2" t="s">
        <v>17</v>
      </c>
      <c r="E312" s="2" t="s">
        <v>23</v>
      </c>
      <c r="F312" s="2" t="s">
        <v>19</v>
      </c>
      <c r="G312" s="2" t="n">
        <v>2006</v>
      </c>
      <c r="H312" s="3" t="n">
        <v>10332.8</v>
      </c>
      <c r="I312" s="3" t="n">
        <v>7323</v>
      </c>
      <c r="J312" s="3" t="n">
        <v>3009.8</v>
      </c>
      <c r="K312" s="3" t="n">
        <v>6153.5</v>
      </c>
      <c r="L312" s="4" t="n">
        <v>59.55307371</v>
      </c>
      <c r="M312" s="3" t="n">
        <v>4179.3</v>
      </c>
      <c r="N312" s="4" t="n">
        <v>40.44692629</v>
      </c>
      <c r="O312" s="9" t="n">
        <f aca="false">$C$5-G312</f>
        <v>20</v>
      </c>
      <c r="P312" s="3" t="n">
        <f aca="false">H312/O312</f>
        <v>516.64</v>
      </c>
      <c r="Q312" s="2" t="str">
        <f aca="false">IF(G312&lt;2010,"Legacy (pre-2010)",IF(G312&lt;=2017,"Established (2010-2017)","Emerging (2018+)"))</f>
        <v>Legacy (pre-2010)</v>
      </c>
    </row>
    <row r="313" customFormat="false" ht="15" hidden="false" customHeight="false" outlineLevel="0" collapsed="false">
      <c r="A313" s="2" t="s">
        <v>383</v>
      </c>
      <c r="B313" s="2" t="s">
        <v>15</v>
      </c>
      <c r="C313" s="2" t="s">
        <v>22</v>
      </c>
      <c r="D313" s="2" t="s">
        <v>17</v>
      </c>
      <c r="E313" s="2" t="s">
        <v>23</v>
      </c>
      <c r="F313" s="2" t="s">
        <v>19</v>
      </c>
      <c r="G313" s="2" t="n">
        <v>2017</v>
      </c>
      <c r="H313" s="3" t="n">
        <v>10313.5</v>
      </c>
      <c r="I313" s="3" t="n">
        <v>10145.1</v>
      </c>
      <c r="J313" s="3" t="n">
        <v>172</v>
      </c>
      <c r="K313" s="3" t="n">
        <v>10141.5</v>
      </c>
      <c r="L313" s="4" t="n">
        <v>98.33228293</v>
      </c>
      <c r="M313" s="3" t="n">
        <v>172</v>
      </c>
      <c r="N313" s="4" t="n">
        <v>1.66771707</v>
      </c>
      <c r="O313" s="9" t="n">
        <f aca="false">$C$5-G313</f>
        <v>9</v>
      </c>
      <c r="P313" s="3" t="n">
        <f aca="false">H313/O313</f>
        <v>1145.94444444444</v>
      </c>
      <c r="Q313" s="2" t="str">
        <f aca="false">IF(G313&lt;2010,"Legacy (pre-2010)",IF(G313&lt;=2017,"Established (2010-2017)","Emerging (2018+)"))</f>
        <v>Established (2010-2017)</v>
      </c>
    </row>
    <row r="314" customFormat="false" ht="15" hidden="false" customHeight="false" outlineLevel="0" collapsed="false">
      <c r="A314" s="2" t="s">
        <v>384</v>
      </c>
      <c r="B314" s="2" t="s">
        <v>15</v>
      </c>
      <c r="C314" s="2" t="s">
        <v>22</v>
      </c>
      <c r="D314" s="2" t="s">
        <v>17</v>
      </c>
      <c r="E314" s="2" t="s">
        <v>18</v>
      </c>
      <c r="F314" s="2" t="s">
        <v>19</v>
      </c>
      <c r="G314" s="2" t="n">
        <v>1999</v>
      </c>
      <c r="H314" s="3" t="n">
        <v>10293</v>
      </c>
      <c r="I314" s="3" t="n">
        <v>6016.2</v>
      </c>
      <c r="J314" s="3" t="n">
        <v>4284.3</v>
      </c>
      <c r="K314" s="3" t="n">
        <v>745.9</v>
      </c>
      <c r="L314" s="4" t="n">
        <v>7.246672496</v>
      </c>
      <c r="M314" s="3" t="n">
        <v>9547.1</v>
      </c>
      <c r="N314" s="4" t="n">
        <v>92.7533275</v>
      </c>
      <c r="O314" s="9" t="n">
        <f aca="false">$C$5-G314</f>
        <v>27</v>
      </c>
      <c r="P314" s="3" t="n">
        <f aca="false">H314/O314</f>
        <v>381.222222222222</v>
      </c>
      <c r="Q314" s="2" t="str">
        <f aca="false">IF(G314&lt;2010,"Legacy (pre-2010)",IF(G314&lt;=2017,"Established (2010-2017)","Emerging (2018+)"))</f>
        <v>Legacy (pre-2010)</v>
      </c>
    </row>
    <row r="315" customFormat="false" ht="15" hidden="false" customHeight="false" outlineLevel="0" collapsed="false">
      <c r="A315" s="2" t="s">
        <v>385</v>
      </c>
      <c r="B315" s="2" t="s">
        <v>15</v>
      </c>
      <c r="C315" s="2" t="s">
        <v>349</v>
      </c>
      <c r="D315" s="2" t="s">
        <v>17</v>
      </c>
      <c r="E315" s="2" t="s">
        <v>350</v>
      </c>
      <c r="F315" s="2" t="s">
        <v>19</v>
      </c>
      <c r="G315" s="2" t="n">
        <v>2012</v>
      </c>
      <c r="H315" s="3" t="n">
        <v>10290.6</v>
      </c>
      <c r="I315" s="3" t="n">
        <v>2289.2</v>
      </c>
      <c r="J315" s="3" t="n">
        <v>8003.8</v>
      </c>
      <c r="K315" s="3" t="n">
        <v>4395.8</v>
      </c>
      <c r="L315" s="4" t="n">
        <v>42.71665403</v>
      </c>
      <c r="M315" s="3" t="n">
        <v>5894.8</v>
      </c>
      <c r="N315" s="4" t="n">
        <v>57.28334597</v>
      </c>
      <c r="O315" s="9" t="n">
        <f aca="false">$C$5-G315</f>
        <v>14</v>
      </c>
      <c r="P315" s="3" t="n">
        <f aca="false">H315/O315</f>
        <v>735.042857142857</v>
      </c>
      <c r="Q315" s="2" t="str">
        <f aca="false">IF(G315&lt;2010,"Legacy (pre-2010)",IF(G315&lt;=2017,"Established (2010-2017)","Emerging (2018+)"))</f>
        <v>Established (2010-2017)</v>
      </c>
    </row>
    <row r="316" customFormat="false" ht="15" hidden="false" customHeight="false" outlineLevel="0" collapsed="false">
      <c r="A316" s="2" t="s">
        <v>386</v>
      </c>
      <c r="B316" s="2" t="s">
        <v>15</v>
      </c>
      <c r="C316" s="2" t="s">
        <v>387</v>
      </c>
      <c r="D316" s="2" t="s">
        <v>25</v>
      </c>
      <c r="E316" s="2" t="s">
        <v>83</v>
      </c>
      <c r="F316" s="2" t="s">
        <v>19</v>
      </c>
      <c r="G316" s="2" t="n">
        <v>2009</v>
      </c>
      <c r="H316" s="3" t="n">
        <v>10234.3</v>
      </c>
      <c r="I316" s="3" t="n">
        <v>8102.5</v>
      </c>
      <c r="J316" s="3" t="n">
        <v>2138.3</v>
      </c>
      <c r="K316" s="3" t="n">
        <v>6955</v>
      </c>
      <c r="L316" s="4" t="n">
        <v>67.95774992</v>
      </c>
      <c r="M316" s="3" t="n">
        <v>3279.3</v>
      </c>
      <c r="N316" s="4" t="n">
        <v>32.04225008</v>
      </c>
      <c r="O316" s="9" t="n">
        <f aca="false">$C$5-G316</f>
        <v>17</v>
      </c>
      <c r="P316" s="3" t="n">
        <f aca="false">H316/O316</f>
        <v>602.017647058824</v>
      </c>
      <c r="Q316" s="2" t="str">
        <f aca="false">IF(G316&lt;2010,"Legacy (pre-2010)",IF(G316&lt;=2017,"Established (2010-2017)","Emerging (2018+)"))</f>
        <v>Legacy (pre-2010)</v>
      </c>
    </row>
    <row r="317" customFormat="false" ht="15" hidden="false" customHeight="false" outlineLevel="0" collapsed="false">
      <c r="A317" s="2" t="s">
        <v>388</v>
      </c>
      <c r="B317" s="2" t="s">
        <v>15</v>
      </c>
      <c r="C317" s="2" t="s">
        <v>22</v>
      </c>
      <c r="D317" s="2" t="s">
        <v>17</v>
      </c>
      <c r="E317" s="2" t="s">
        <v>18</v>
      </c>
      <c r="F317" s="2" t="s">
        <v>19</v>
      </c>
      <c r="G317" s="2" t="n">
        <v>2003</v>
      </c>
      <c r="H317" s="3" t="n">
        <v>10231.2</v>
      </c>
      <c r="I317" s="3" t="n">
        <v>7551.1</v>
      </c>
      <c r="J317" s="3" t="n">
        <v>2685</v>
      </c>
      <c r="K317" s="3" t="n">
        <v>2118.4</v>
      </c>
      <c r="L317" s="4" t="n">
        <v>20.70529361</v>
      </c>
      <c r="M317" s="3" t="n">
        <v>8112.8</v>
      </c>
      <c r="N317" s="4" t="n">
        <v>79.29470639</v>
      </c>
      <c r="O317" s="9" t="n">
        <f aca="false">$C$5-G317</f>
        <v>23</v>
      </c>
      <c r="P317" s="3" t="n">
        <f aca="false">H317/O317</f>
        <v>444.834782608696</v>
      </c>
      <c r="Q317" s="2" t="str">
        <f aca="false">IF(G317&lt;2010,"Legacy (pre-2010)",IF(G317&lt;=2017,"Established (2010-2017)","Emerging (2018+)"))</f>
        <v>Legacy (pre-2010)</v>
      </c>
    </row>
    <row r="318" customFormat="false" ht="15" hidden="false" customHeight="false" outlineLevel="0" collapsed="false">
      <c r="A318" s="2" t="s">
        <v>389</v>
      </c>
      <c r="B318" s="2" t="s">
        <v>15</v>
      </c>
      <c r="C318" s="2" t="s">
        <v>22</v>
      </c>
      <c r="D318" s="2" t="s">
        <v>17</v>
      </c>
      <c r="E318" s="2" t="s">
        <v>52</v>
      </c>
      <c r="F318" s="2" t="s">
        <v>49</v>
      </c>
      <c r="G318" s="2" t="n">
        <v>2002</v>
      </c>
      <c r="H318" s="3" t="n">
        <v>10180.2</v>
      </c>
      <c r="I318" s="3" t="n">
        <v>10185.8</v>
      </c>
      <c r="J318" s="3" t="n">
        <v>0</v>
      </c>
      <c r="K318" s="3" t="n">
        <v>10132.8</v>
      </c>
      <c r="L318" s="4" t="n">
        <v>99.53439029</v>
      </c>
      <c r="M318" s="3" t="n">
        <v>47.4</v>
      </c>
      <c r="N318" s="4" t="n">
        <v>0.465609713</v>
      </c>
      <c r="O318" s="9" t="n">
        <f aca="false">$C$5-G318</f>
        <v>24</v>
      </c>
      <c r="P318" s="3" t="n">
        <f aca="false">H318/O318</f>
        <v>424.175</v>
      </c>
      <c r="Q318" s="2" t="str">
        <f aca="false">IF(G318&lt;2010,"Legacy (pre-2010)",IF(G318&lt;=2017,"Established (2010-2017)","Emerging (2018+)"))</f>
        <v>Legacy (pre-2010)</v>
      </c>
    </row>
    <row r="319" customFormat="false" ht="15" hidden="false" customHeight="false" outlineLevel="0" collapsed="false">
      <c r="A319" s="2" t="s">
        <v>390</v>
      </c>
      <c r="B319" s="2" t="s">
        <v>21</v>
      </c>
      <c r="C319" s="2" t="s">
        <v>16</v>
      </c>
      <c r="D319" s="2" t="s">
        <v>17</v>
      </c>
      <c r="E319" s="2" t="s">
        <v>23</v>
      </c>
      <c r="F319" s="2" t="s">
        <v>19</v>
      </c>
      <c r="G319" s="2" t="n">
        <v>2015</v>
      </c>
      <c r="H319" s="3" t="n">
        <v>10179.3</v>
      </c>
      <c r="I319" s="3" t="n">
        <v>6431.1</v>
      </c>
      <c r="J319" s="3" t="n">
        <v>3750.4</v>
      </c>
      <c r="K319" s="3" t="n">
        <v>5420.2</v>
      </c>
      <c r="L319" s="4" t="n">
        <v>53.24727634</v>
      </c>
      <c r="M319" s="3" t="n">
        <v>4759.1</v>
      </c>
      <c r="N319" s="4" t="n">
        <v>46.75272366</v>
      </c>
      <c r="O319" s="9" t="n">
        <f aca="false">$C$5-G319</f>
        <v>11</v>
      </c>
      <c r="P319" s="3" t="n">
        <f aca="false">H319/O319</f>
        <v>925.390909090909</v>
      </c>
      <c r="Q319" s="2" t="str">
        <f aca="false">IF(G319&lt;2010,"Legacy (pre-2010)",IF(G319&lt;=2017,"Established (2010-2017)","Emerging (2018+)"))</f>
        <v>Established (2010-2017)</v>
      </c>
    </row>
    <row r="320" customFormat="false" ht="15" hidden="false" customHeight="false" outlineLevel="0" collapsed="false">
      <c r="A320" s="2" t="s">
        <v>391</v>
      </c>
      <c r="B320" s="2" t="s">
        <v>15</v>
      </c>
      <c r="C320" s="2" t="s">
        <v>72</v>
      </c>
      <c r="D320" s="2" t="s">
        <v>73</v>
      </c>
      <c r="E320" s="2" t="s">
        <v>74</v>
      </c>
      <c r="F320" s="2" t="s">
        <v>49</v>
      </c>
      <c r="G320" s="2" t="n">
        <v>1999</v>
      </c>
      <c r="H320" s="3" t="n">
        <v>10165</v>
      </c>
      <c r="I320" s="3" t="n">
        <v>8858.9</v>
      </c>
      <c r="J320" s="3" t="n">
        <v>1312.6</v>
      </c>
      <c r="K320" s="3" t="n">
        <v>6.7</v>
      </c>
      <c r="L320" s="4" t="n">
        <v>0.06591244466</v>
      </c>
      <c r="M320" s="3" t="n">
        <v>10158.3</v>
      </c>
      <c r="N320" s="4" t="n">
        <v>99.93408756</v>
      </c>
      <c r="O320" s="9" t="n">
        <f aca="false">$C$5-G320</f>
        <v>27</v>
      </c>
      <c r="P320" s="3" t="n">
        <f aca="false">H320/O320</f>
        <v>376.481481481481</v>
      </c>
      <c r="Q320" s="2" t="str">
        <f aca="false">IF(G320&lt;2010,"Legacy (pre-2010)",IF(G320&lt;=2017,"Established (2010-2017)","Emerging (2018+)"))</f>
        <v>Legacy (pre-2010)</v>
      </c>
    </row>
    <row r="321" customFormat="false" ht="15" hidden="false" customHeight="false" outlineLevel="0" collapsed="false">
      <c r="A321" s="2" t="s">
        <v>392</v>
      </c>
      <c r="B321" s="2" t="s">
        <v>15</v>
      </c>
      <c r="C321" s="2" t="s">
        <v>223</v>
      </c>
      <c r="D321" s="2" t="s">
        <v>25</v>
      </c>
      <c r="E321" s="2" t="s">
        <v>18</v>
      </c>
      <c r="F321" s="2" t="s">
        <v>19</v>
      </c>
      <c r="G321" s="2" t="n">
        <v>2017</v>
      </c>
      <c r="H321" s="3" t="n">
        <v>10160.5</v>
      </c>
      <c r="I321" s="3" t="n">
        <v>8082</v>
      </c>
      <c r="J321" s="3" t="n">
        <v>2081.7</v>
      </c>
      <c r="K321" s="3" t="n">
        <v>6415.1</v>
      </c>
      <c r="L321" s="4" t="n">
        <v>63.13764086</v>
      </c>
      <c r="M321" s="3" t="n">
        <v>3745.4</v>
      </c>
      <c r="N321" s="4" t="n">
        <v>36.86235914</v>
      </c>
      <c r="O321" s="9" t="n">
        <f aca="false">$C$5-G321</f>
        <v>9</v>
      </c>
      <c r="P321" s="3" t="n">
        <f aca="false">H321/O321</f>
        <v>1128.94444444444</v>
      </c>
      <c r="Q321" s="2" t="str">
        <f aca="false">IF(G321&lt;2010,"Legacy (pre-2010)",IF(G321&lt;=2017,"Established (2010-2017)","Emerging (2018+)"))</f>
        <v>Established (2010-2017)</v>
      </c>
    </row>
    <row r="322" customFormat="false" ht="15" hidden="false" customHeight="false" outlineLevel="0" collapsed="false">
      <c r="A322" s="2" t="s">
        <v>393</v>
      </c>
      <c r="B322" s="2" t="s">
        <v>15</v>
      </c>
      <c r="C322" s="2" t="s">
        <v>90</v>
      </c>
      <c r="D322" s="2" t="s">
        <v>25</v>
      </c>
      <c r="E322" s="2" t="s">
        <v>91</v>
      </c>
      <c r="F322" s="2" t="s">
        <v>49</v>
      </c>
      <c r="G322" s="2" t="n">
        <v>1997</v>
      </c>
      <c r="H322" s="3" t="n">
        <v>10147.9</v>
      </c>
      <c r="I322" s="3" t="n">
        <v>10065.9</v>
      </c>
      <c r="J322" s="3" t="n">
        <v>89.1</v>
      </c>
      <c r="K322" s="3" t="n">
        <v>9956.8</v>
      </c>
      <c r="L322" s="4" t="n">
        <v>98.11685176</v>
      </c>
      <c r="M322" s="3" t="n">
        <v>191.1</v>
      </c>
      <c r="N322" s="4" t="n">
        <v>1.883148238</v>
      </c>
      <c r="O322" s="9" t="n">
        <f aca="false">$C$5-G322</f>
        <v>29</v>
      </c>
      <c r="P322" s="3" t="n">
        <f aca="false">H322/O322</f>
        <v>349.927586206897</v>
      </c>
      <c r="Q322" s="2" t="str">
        <f aca="false">IF(G322&lt;2010,"Legacy (pre-2010)",IF(G322&lt;=2017,"Established (2010-2017)","Emerging (2018+)"))</f>
        <v>Legacy (pre-2010)</v>
      </c>
    </row>
    <row r="323" customFormat="false" ht="15" hidden="false" customHeight="false" outlineLevel="0" collapsed="false">
      <c r="A323" s="2" t="s">
        <v>394</v>
      </c>
      <c r="B323" s="2" t="s">
        <v>15</v>
      </c>
      <c r="C323" s="2" t="s">
        <v>22</v>
      </c>
      <c r="D323" s="2" t="s">
        <v>17</v>
      </c>
      <c r="E323" s="2" t="s">
        <v>18</v>
      </c>
      <c r="F323" s="2" t="s">
        <v>19</v>
      </c>
      <c r="G323" s="2" t="n">
        <v>2015</v>
      </c>
      <c r="H323" s="3" t="n">
        <v>10141.7</v>
      </c>
      <c r="I323" s="3" t="n">
        <v>9084.2</v>
      </c>
      <c r="J323" s="3" t="n">
        <v>1067.9</v>
      </c>
      <c r="K323" s="3" t="n">
        <v>7696.5</v>
      </c>
      <c r="L323" s="4" t="n">
        <v>75.88964375</v>
      </c>
      <c r="M323" s="3" t="n">
        <v>2445.2</v>
      </c>
      <c r="N323" s="4" t="n">
        <v>24.11035625</v>
      </c>
      <c r="O323" s="9" t="n">
        <f aca="false">$C$5-G323</f>
        <v>11</v>
      </c>
      <c r="P323" s="3" t="n">
        <f aca="false">H323/O323</f>
        <v>921.972727272727</v>
      </c>
      <c r="Q323" s="2" t="str">
        <f aca="false">IF(G323&lt;2010,"Legacy (pre-2010)",IF(G323&lt;=2017,"Established (2010-2017)","Emerging (2018+)"))</f>
        <v>Established (2010-2017)</v>
      </c>
    </row>
    <row r="324" customFormat="false" ht="15" hidden="false" customHeight="false" outlineLevel="0" collapsed="false">
      <c r="A324" s="2" t="s">
        <v>395</v>
      </c>
      <c r="B324" s="2" t="s">
        <v>15</v>
      </c>
      <c r="C324" s="2" t="s">
        <v>167</v>
      </c>
      <c r="D324" s="2" t="s">
        <v>168</v>
      </c>
      <c r="E324" s="2" t="s">
        <v>169</v>
      </c>
      <c r="F324" s="2" t="s">
        <v>49</v>
      </c>
      <c r="G324" s="2" t="n">
        <v>2010</v>
      </c>
      <c r="H324" s="3" t="n">
        <v>10122.5</v>
      </c>
      <c r="I324" s="3" t="n">
        <v>8138.6</v>
      </c>
      <c r="J324" s="3" t="n">
        <v>1988.4</v>
      </c>
      <c r="K324" s="3" t="n">
        <v>5614.2</v>
      </c>
      <c r="L324" s="4" t="n">
        <v>55.46258335</v>
      </c>
      <c r="M324" s="3" t="n">
        <v>4508.3</v>
      </c>
      <c r="N324" s="4" t="n">
        <v>44.53741665</v>
      </c>
      <c r="O324" s="9" t="n">
        <f aca="false">$C$5-G324</f>
        <v>16</v>
      </c>
      <c r="P324" s="3" t="n">
        <f aca="false">H324/O324</f>
        <v>632.65625</v>
      </c>
      <c r="Q324" s="2" t="str">
        <f aca="false">IF(G324&lt;2010,"Legacy (pre-2010)",IF(G324&lt;=2017,"Established (2010-2017)","Emerging (2018+)"))</f>
        <v>Established (2010-2017)</v>
      </c>
    </row>
    <row r="325" customFormat="false" ht="15" hidden="false" customHeight="false" outlineLevel="0" collapsed="false">
      <c r="A325" s="2" t="s">
        <v>396</v>
      </c>
      <c r="B325" s="2" t="s">
        <v>15</v>
      </c>
      <c r="C325" s="2" t="s">
        <v>167</v>
      </c>
      <c r="D325" s="2" t="s">
        <v>168</v>
      </c>
      <c r="E325" s="2" t="s">
        <v>61</v>
      </c>
      <c r="F325" s="2" t="s">
        <v>19</v>
      </c>
      <c r="G325" s="2" t="n">
        <v>2004</v>
      </c>
      <c r="H325" s="3" t="n">
        <v>10115.7</v>
      </c>
      <c r="I325" s="3" t="n">
        <v>9351.5</v>
      </c>
      <c r="J325" s="3" t="n">
        <v>766.2</v>
      </c>
      <c r="K325" s="3" t="n">
        <v>269.8</v>
      </c>
      <c r="L325" s="4" t="n">
        <v>2.667141177</v>
      </c>
      <c r="M325" s="3" t="n">
        <v>9845.9</v>
      </c>
      <c r="N325" s="4" t="n">
        <v>97.33285882</v>
      </c>
      <c r="O325" s="9" t="n">
        <f aca="false">$C$5-G325</f>
        <v>22</v>
      </c>
      <c r="P325" s="3" t="n">
        <f aca="false">H325/O325</f>
        <v>459.804545454545</v>
      </c>
      <c r="Q325" s="2" t="str">
        <f aca="false">IF(G325&lt;2010,"Legacy (pre-2010)",IF(G325&lt;=2017,"Established (2010-2017)","Emerging (2018+)"))</f>
        <v>Legacy (pre-2010)</v>
      </c>
    </row>
    <row r="326" customFormat="false" ht="15" hidden="false" customHeight="false" outlineLevel="0" collapsed="false">
      <c r="A326" s="2" t="s">
        <v>397</v>
      </c>
      <c r="B326" s="2" t="s">
        <v>15</v>
      </c>
      <c r="C326" s="2" t="s">
        <v>34</v>
      </c>
      <c r="D326" s="2" t="s">
        <v>17</v>
      </c>
      <c r="E326" s="2" t="s">
        <v>52</v>
      </c>
      <c r="F326" s="2" t="s">
        <v>49</v>
      </c>
      <c r="G326" s="2" t="n">
        <v>2006</v>
      </c>
      <c r="H326" s="3" t="n">
        <v>10108</v>
      </c>
      <c r="I326" s="3" t="n">
        <v>8333.7</v>
      </c>
      <c r="J326" s="3" t="n">
        <v>1782</v>
      </c>
      <c r="K326" s="3" t="n">
        <v>8006.1</v>
      </c>
      <c r="L326" s="4" t="n">
        <v>79.20557974</v>
      </c>
      <c r="M326" s="3" t="n">
        <v>2101.9</v>
      </c>
      <c r="N326" s="4" t="n">
        <v>20.79442026</v>
      </c>
      <c r="O326" s="9" t="n">
        <f aca="false">$C$5-G326</f>
        <v>20</v>
      </c>
      <c r="P326" s="3" t="n">
        <f aca="false">H326/O326</f>
        <v>505.4</v>
      </c>
      <c r="Q326" s="2" t="str">
        <f aca="false">IF(G326&lt;2010,"Legacy (pre-2010)",IF(G326&lt;=2017,"Established (2010-2017)","Emerging (2018+)"))</f>
        <v>Legacy (pre-2010)</v>
      </c>
    </row>
    <row r="327" customFormat="false" ht="15" hidden="false" customHeight="false" outlineLevel="0" collapsed="false">
      <c r="A327" s="2" t="s">
        <v>398</v>
      </c>
      <c r="B327" s="2" t="s">
        <v>15</v>
      </c>
      <c r="C327" s="2" t="s">
        <v>34</v>
      </c>
      <c r="D327" s="2" t="s">
        <v>17</v>
      </c>
      <c r="E327" s="2" t="s">
        <v>18</v>
      </c>
      <c r="F327" s="2" t="s">
        <v>19</v>
      </c>
      <c r="G327" s="2" t="n">
        <v>2014</v>
      </c>
      <c r="H327" s="3" t="n">
        <v>10095.5</v>
      </c>
      <c r="I327" s="3" t="n">
        <v>6587</v>
      </c>
      <c r="J327" s="3" t="n">
        <v>3508.5</v>
      </c>
      <c r="K327" s="3" t="n">
        <v>5050.9</v>
      </c>
      <c r="L327" s="4" t="n">
        <v>50.03120202</v>
      </c>
      <c r="M327" s="3" t="n">
        <v>5044.6</v>
      </c>
      <c r="N327" s="4" t="n">
        <v>49.96879798</v>
      </c>
      <c r="O327" s="9" t="n">
        <f aca="false">$C$5-G327</f>
        <v>12</v>
      </c>
      <c r="P327" s="3" t="n">
        <f aca="false">H327/O327</f>
        <v>841.291666666667</v>
      </c>
      <c r="Q327" s="2" t="str">
        <f aca="false">IF(G327&lt;2010,"Legacy (pre-2010)",IF(G327&lt;=2017,"Established (2010-2017)","Emerging (2018+)"))</f>
        <v>Established (2010-2017)</v>
      </c>
    </row>
    <row r="328" customFormat="false" ht="15" hidden="false" customHeight="false" outlineLevel="0" collapsed="false">
      <c r="A328" s="2" t="s">
        <v>399</v>
      </c>
      <c r="B328" s="2" t="s">
        <v>79</v>
      </c>
      <c r="C328" s="2" t="s">
        <v>22</v>
      </c>
      <c r="D328" s="2" t="s">
        <v>17</v>
      </c>
      <c r="E328" s="2" t="s">
        <v>140</v>
      </c>
      <c r="F328" s="2" t="s">
        <v>49</v>
      </c>
      <c r="G328" s="2" t="n">
        <v>2009</v>
      </c>
      <c r="H328" s="3" t="n">
        <v>10048.3</v>
      </c>
      <c r="I328" s="3" t="n">
        <v>3456.4</v>
      </c>
      <c r="J328" s="3" t="n">
        <v>6591.9</v>
      </c>
      <c r="K328" s="3" t="n">
        <v>257</v>
      </c>
      <c r="L328" s="4" t="n">
        <v>2.557646567</v>
      </c>
      <c r="M328" s="3" t="n">
        <v>9791.3</v>
      </c>
      <c r="N328" s="4" t="n">
        <v>97.44235343</v>
      </c>
      <c r="O328" s="9" t="n">
        <f aca="false">$C$5-G328</f>
        <v>17</v>
      </c>
      <c r="P328" s="3" t="n">
        <f aca="false">H328/O328</f>
        <v>591.076470588235</v>
      </c>
      <c r="Q328" s="2" t="str">
        <f aca="false">IF(G328&lt;2010,"Legacy (pre-2010)",IF(G328&lt;=2017,"Established (2010-2017)","Emerging (2018+)"))</f>
        <v>Legacy (pre-2010)</v>
      </c>
    </row>
    <row r="329" customFormat="false" ht="15" hidden="false" customHeight="false" outlineLevel="0" collapsed="false">
      <c r="A329" s="2" t="s">
        <v>400</v>
      </c>
      <c r="B329" s="2" t="s">
        <v>15</v>
      </c>
      <c r="C329" s="2" t="s">
        <v>16</v>
      </c>
      <c r="D329" s="2" t="s">
        <v>17</v>
      </c>
      <c r="E329" s="2" t="s">
        <v>52</v>
      </c>
      <c r="F329" s="2" t="s">
        <v>19</v>
      </c>
      <c r="G329" s="2" t="n">
        <v>2012</v>
      </c>
      <c r="H329" s="3" t="n">
        <v>9970.2</v>
      </c>
      <c r="I329" s="3" t="n">
        <v>9813.7</v>
      </c>
      <c r="J329" s="3" t="n">
        <v>161.5</v>
      </c>
      <c r="K329" s="3" t="n">
        <v>9795.8</v>
      </c>
      <c r="L329" s="4" t="n">
        <v>98.25078735</v>
      </c>
      <c r="M329" s="3" t="n">
        <v>174.4</v>
      </c>
      <c r="N329" s="4" t="n">
        <v>1.749212654</v>
      </c>
      <c r="O329" s="9" t="n">
        <f aca="false">$C$5-G329</f>
        <v>14</v>
      </c>
      <c r="P329" s="3" t="n">
        <f aca="false">H329/O329</f>
        <v>712.157142857143</v>
      </c>
      <c r="Q329" s="2" t="str">
        <f aca="false">IF(G329&lt;2010,"Legacy (pre-2010)",IF(G329&lt;=2017,"Established (2010-2017)","Emerging (2018+)"))</f>
        <v>Established (2010-2017)</v>
      </c>
    </row>
    <row r="330" customFormat="false" ht="15" hidden="false" customHeight="false" outlineLevel="0" collapsed="false">
      <c r="A330" s="2" t="s">
        <v>401</v>
      </c>
      <c r="B330" s="2" t="s">
        <v>15</v>
      </c>
      <c r="C330" s="2" t="s">
        <v>22</v>
      </c>
      <c r="D330" s="2" t="s">
        <v>17</v>
      </c>
      <c r="E330" s="2" t="s">
        <v>23</v>
      </c>
      <c r="F330" s="2" t="s">
        <v>19</v>
      </c>
      <c r="G330" s="2" t="n">
        <v>2021</v>
      </c>
      <c r="H330" s="3" t="n">
        <v>9949.6</v>
      </c>
      <c r="I330" s="3" t="n">
        <v>9956.4</v>
      </c>
      <c r="J330" s="3" t="n">
        <v>0</v>
      </c>
      <c r="K330" s="3" t="n">
        <v>9911.9</v>
      </c>
      <c r="L330" s="4" t="n">
        <v>99.6210903</v>
      </c>
      <c r="M330" s="3" t="n">
        <v>37.7</v>
      </c>
      <c r="N330" s="4" t="n">
        <v>0.3789097049</v>
      </c>
      <c r="O330" s="9" t="n">
        <f aca="false">$C$5-G330</f>
        <v>5</v>
      </c>
      <c r="P330" s="3" t="n">
        <f aca="false">H330/O330</f>
        <v>1989.92</v>
      </c>
      <c r="Q330" s="2" t="str">
        <f aca="false">IF(G330&lt;2010,"Legacy (pre-2010)",IF(G330&lt;=2017,"Established (2010-2017)","Emerging (2018+)"))</f>
        <v>Emerging (2018+)</v>
      </c>
    </row>
    <row r="331" customFormat="false" ht="15" hidden="false" customHeight="false" outlineLevel="0" collapsed="false">
      <c r="A331" s="2" t="s">
        <v>402</v>
      </c>
      <c r="B331" s="2" t="s">
        <v>15</v>
      </c>
      <c r="C331" s="2" t="s">
        <v>22</v>
      </c>
      <c r="D331" s="2" t="s">
        <v>25</v>
      </c>
      <c r="E331" s="2" t="s">
        <v>26</v>
      </c>
      <c r="F331" s="2" t="s">
        <v>19</v>
      </c>
      <c r="G331" s="2" t="n">
        <v>2014</v>
      </c>
      <c r="H331" s="3" t="n">
        <v>9948.7</v>
      </c>
      <c r="I331" s="3" t="n">
        <v>4105.3</v>
      </c>
      <c r="J331" s="3" t="n">
        <v>5843.4</v>
      </c>
      <c r="K331" s="3" t="n">
        <v>471.7</v>
      </c>
      <c r="L331" s="4" t="n">
        <v>4.741322987</v>
      </c>
      <c r="M331" s="3" t="n">
        <v>9477</v>
      </c>
      <c r="N331" s="4" t="n">
        <v>95.25867701</v>
      </c>
      <c r="O331" s="9" t="n">
        <f aca="false">$C$5-G331</f>
        <v>12</v>
      </c>
      <c r="P331" s="3" t="n">
        <f aca="false">H331/O331</f>
        <v>829.058333333333</v>
      </c>
      <c r="Q331" s="2" t="str">
        <f aca="false">IF(G331&lt;2010,"Legacy (pre-2010)",IF(G331&lt;=2017,"Established (2010-2017)","Emerging (2018+)"))</f>
        <v>Established (2010-2017)</v>
      </c>
    </row>
    <row r="332" customFormat="false" ht="15" hidden="false" customHeight="false" outlineLevel="0" collapsed="false">
      <c r="A332" s="2" t="s">
        <v>403</v>
      </c>
      <c r="B332" s="2" t="s">
        <v>15</v>
      </c>
      <c r="C332" s="2" t="s">
        <v>16</v>
      </c>
      <c r="D332" s="2" t="s">
        <v>17</v>
      </c>
      <c r="E332" s="2" t="s">
        <v>52</v>
      </c>
      <c r="F332" s="2" t="s">
        <v>49</v>
      </c>
      <c r="G332" s="2" t="n">
        <v>1996</v>
      </c>
      <c r="H332" s="3" t="n">
        <v>9933.4</v>
      </c>
      <c r="I332" s="3" t="n">
        <v>9932.9</v>
      </c>
      <c r="J332" s="3" t="n">
        <v>6.1</v>
      </c>
      <c r="K332" s="3" t="n">
        <v>9864.7</v>
      </c>
      <c r="L332" s="4" t="n">
        <v>99.3083939</v>
      </c>
      <c r="M332" s="3" t="n">
        <v>68.7</v>
      </c>
      <c r="N332" s="4" t="n">
        <v>0.6916060966</v>
      </c>
      <c r="O332" s="9" t="n">
        <f aca="false">$C$5-G332</f>
        <v>30</v>
      </c>
      <c r="P332" s="3" t="n">
        <f aca="false">H332/O332</f>
        <v>331.113333333333</v>
      </c>
      <c r="Q332" s="2" t="str">
        <f aca="false">IF(G332&lt;2010,"Legacy (pre-2010)",IF(G332&lt;=2017,"Established (2010-2017)","Emerging (2018+)"))</f>
        <v>Legacy (pre-2010)</v>
      </c>
    </row>
    <row r="333" customFormat="false" ht="15" hidden="false" customHeight="false" outlineLevel="0" collapsed="false">
      <c r="A333" s="2" t="s">
        <v>404</v>
      </c>
      <c r="B333" s="2" t="s">
        <v>15</v>
      </c>
      <c r="C333" s="2" t="s">
        <v>22</v>
      </c>
      <c r="D333" s="2" t="s">
        <v>25</v>
      </c>
      <c r="E333" s="2" t="s">
        <v>83</v>
      </c>
      <c r="F333" s="2" t="s">
        <v>19</v>
      </c>
      <c r="G333" s="2" t="n">
        <v>1988</v>
      </c>
      <c r="H333" s="3" t="n">
        <v>9914.5</v>
      </c>
      <c r="I333" s="3" t="n">
        <v>6239</v>
      </c>
      <c r="J333" s="3" t="n">
        <v>3689.5</v>
      </c>
      <c r="K333" s="3" t="n">
        <v>5931.4</v>
      </c>
      <c r="L333" s="4" t="n">
        <v>59.82550809</v>
      </c>
      <c r="M333" s="3" t="n">
        <v>3983.1</v>
      </c>
      <c r="N333" s="4" t="n">
        <v>40.17449191</v>
      </c>
      <c r="O333" s="9" t="n">
        <f aca="false">$C$5-G333</f>
        <v>38</v>
      </c>
      <c r="P333" s="3" t="n">
        <f aca="false">H333/O333</f>
        <v>260.907894736842</v>
      </c>
      <c r="Q333" s="2" t="str">
        <f aca="false">IF(G333&lt;2010,"Legacy (pre-2010)",IF(G333&lt;=2017,"Established (2010-2017)","Emerging (2018+)"))</f>
        <v>Legacy (pre-2010)</v>
      </c>
    </row>
    <row r="334" customFormat="false" ht="15" hidden="false" customHeight="false" outlineLevel="0" collapsed="false">
      <c r="A334" s="2" t="s">
        <v>405</v>
      </c>
      <c r="B334" s="2" t="s">
        <v>79</v>
      </c>
      <c r="C334" s="2" t="s">
        <v>90</v>
      </c>
      <c r="D334" s="2" t="s">
        <v>25</v>
      </c>
      <c r="E334" s="2" t="s">
        <v>52</v>
      </c>
      <c r="F334" s="2" t="s">
        <v>49</v>
      </c>
      <c r="G334" s="2" t="n">
        <v>1987</v>
      </c>
      <c r="H334" s="3" t="n">
        <v>9914.4</v>
      </c>
      <c r="I334" s="3" t="n">
        <v>9921.1</v>
      </c>
      <c r="J334" s="3" t="n">
        <v>6.1</v>
      </c>
      <c r="K334" s="3" t="n">
        <v>7817.7</v>
      </c>
      <c r="L334" s="4" t="n">
        <v>78.85197289</v>
      </c>
      <c r="M334" s="3" t="n">
        <v>2096.7</v>
      </c>
      <c r="N334" s="4" t="n">
        <v>21.14802711</v>
      </c>
      <c r="O334" s="9" t="n">
        <f aca="false">$C$5-G334</f>
        <v>39</v>
      </c>
      <c r="P334" s="3" t="n">
        <f aca="false">H334/O334</f>
        <v>254.215384615385</v>
      </c>
      <c r="Q334" s="2" t="str">
        <f aca="false">IF(G334&lt;2010,"Legacy (pre-2010)",IF(G334&lt;=2017,"Established (2010-2017)","Emerging (2018+)"))</f>
        <v>Legacy (pre-2010)</v>
      </c>
    </row>
    <row r="335" customFormat="false" ht="15" hidden="false" customHeight="false" outlineLevel="0" collapsed="false">
      <c r="A335" s="2" t="s">
        <v>406</v>
      </c>
      <c r="B335" s="2" t="s">
        <v>15</v>
      </c>
      <c r="C335" s="2" t="s">
        <v>34</v>
      </c>
      <c r="D335" s="2" t="s">
        <v>17</v>
      </c>
      <c r="E335" s="2" t="s">
        <v>52</v>
      </c>
      <c r="F335" s="2" t="s">
        <v>49</v>
      </c>
      <c r="G335" s="2" t="n">
        <v>1969</v>
      </c>
      <c r="H335" s="3" t="n">
        <v>9909.5</v>
      </c>
      <c r="I335" s="3" t="n">
        <v>9912.8</v>
      </c>
      <c r="J335" s="3" t="n">
        <v>0</v>
      </c>
      <c r="K335" s="3" t="n">
        <v>9909.5</v>
      </c>
      <c r="L335" s="4" t="n">
        <v>100</v>
      </c>
      <c r="M335" s="3" t="n">
        <v>0</v>
      </c>
      <c r="N335" s="4" t="n">
        <v>0</v>
      </c>
      <c r="O335" s="9" t="n">
        <f aca="false">$C$5-G335</f>
        <v>57</v>
      </c>
      <c r="P335" s="3" t="n">
        <f aca="false">H335/O335</f>
        <v>173.850877192982</v>
      </c>
      <c r="Q335" s="2" t="str">
        <f aca="false">IF(G335&lt;2010,"Legacy (pre-2010)",IF(G335&lt;=2017,"Established (2010-2017)","Emerging (2018+)"))</f>
        <v>Legacy (pre-2010)</v>
      </c>
    </row>
    <row r="336" customFormat="false" ht="15" hidden="false" customHeight="false" outlineLevel="0" collapsed="false">
      <c r="A336" s="2" t="s">
        <v>407</v>
      </c>
      <c r="B336" s="2" t="s">
        <v>79</v>
      </c>
      <c r="C336" s="2" t="s">
        <v>408</v>
      </c>
      <c r="D336" s="2" t="s">
        <v>409</v>
      </c>
      <c r="E336" s="2" t="s">
        <v>52</v>
      </c>
      <c r="F336" s="2" t="s">
        <v>49</v>
      </c>
      <c r="G336" s="2" t="n">
        <v>2017</v>
      </c>
      <c r="H336" s="3" t="n">
        <v>9899.4</v>
      </c>
      <c r="I336" s="3" t="n">
        <v>9883</v>
      </c>
      <c r="J336" s="3" t="n">
        <v>20.1</v>
      </c>
      <c r="K336" s="3" t="n">
        <v>9351.9</v>
      </c>
      <c r="L336" s="4" t="n">
        <v>94.46936178</v>
      </c>
      <c r="M336" s="3" t="n">
        <v>547.5</v>
      </c>
      <c r="N336" s="4" t="n">
        <v>5.53063822</v>
      </c>
      <c r="O336" s="9" t="n">
        <f aca="false">$C$5-G336</f>
        <v>9</v>
      </c>
      <c r="P336" s="3" t="n">
        <f aca="false">H336/O336</f>
        <v>1099.93333333333</v>
      </c>
      <c r="Q336" s="2" t="str">
        <f aca="false">IF(G336&lt;2010,"Legacy (pre-2010)",IF(G336&lt;=2017,"Established (2010-2017)","Emerging (2018+)"))</f>
        <v>Established (2010-2017)</v>
      </c>
    </row>
    <row r="337" customFormat="false" ht="15" hidden="false" customHeight="false" outlineLevel="0" collapsed="false">
      <c r="A337" s="2" t="s">
        <v>410</v>
      </c>
      <c r="B337" s="2" t="s">
        <v>15</v>
      </c>
      <c r="C337" s="2" t="s">
        <v>22</v>
      </c>
      <c r="D337" s="2" t="s">
        <v>17</v>
      </c>
      <c r="E337" s="2" t="s">
        <v>99</v>
      </c>
      <c r="F337" s="2" t="s">
        <v>49</v>
      </c>
      <c r="G337" s="2" t="n">
        <v>2010</v>
      </c>
      <c r="H337" s="3" t="n">
        <v>9869.3</v>
      </c>
      <c r="I337" s="3" t="n">
        <v>6437</v>
      </c>
      <c r="J337" s="3" t="n">
        <v>3432.3</v>
      </c>
      <c r="K337" s="3" t="n">
        <v>4558.7</v>
      </c>
      <c r="L337" s="4" t="n">
        <v>46.19071261</v>
      </c>
      <c r="M337" s="3" t="n">
        <v>5310.6</v>
      </c>
      <c r="N337" s="4" t="n">
        <v>53.80928739</v>
      </c>
      <c r="O337" s="9" t="n">
        <f aca="false">$C$5-G337</f>
        <v>16</v>
      </c>
      <c r="P337" s="3" t="n">
        <f aca="false">H337/O337</f>
        <v>616.83125</v>
      </c>
      <c r="Q337" s="2" t="str">
        <f aca="false">IF(G337&lt;2010,"Legacy (pre-2010)",IF(G337&lt;=2017,"Established (2010-2017)","Emerging (2018+)"))</f>
        <v>Established (2010-2017)</v>
      </c>
    </row>
    <row r="338" customFormat="false" ht="15" hidden="false" customHeight="false" outlineLevel="0" collapsed="false">
      <c r="A338" s="2" t="s">
        <v>411</v>
      </c>
      <c r="B338" s="2" t="s">
        <v>15</v>
      </c>
      <c r="C338" s="2" t="s">
        <v>22</v>
      </c>
      <c r="D338" s="2" t="s">
        <v>25</v>
      </c>
      <c r="E338" s="2" t="s">
        <v>83</v>
      </c>
      <c r="F338" s="2" t="s">
        <v>19</v>
      </c>
      <c r="G338" s="2" t="n">
        <v>1998</v>
      </c>
      <c r="H338" s="3" t="n">
        <v>9862.6</v>
      </c>
      <c r="I338" s="3" t="n">
        <v>4889.8</v>
      </c>
      <c r="J338" s="3" t="n">
        <v>4976.4</v>
      </c>
      <c r="K338" s="3" t="n">
        <v>1538.9</v>
      </c>
      <c r="L338" s="4" t="n">
        <v>15.60339059</v>
      </c>
      <c r="M338" s="3" t="n">
        <v>8323.7</v>
      </c>
      <c r="N338" s="4" t="n">
        <v>84.39660941</v>
      </c>
      <c r="O338" s="9" t="n">
        <f aca="false">$C$5-G338</f>
        <v>28</v>
      </c>
      <c r="P338" s="3" t="n">
        <f aca="false">H338/O338</f>
        <v>352.235714285714</v>
      </c>
      <c r="Q338" s="2" t="str">
        <f aca="false">IF(G338&lt;2010,"Legacy (pre-2010)",IF(G338&lt;=2017,"Established (2010-2017)","Emerging (2018+)"))</f>
        <v>Legacy (pre-2010)</v>
      </c>
    </row>
    <row r="339" customFormat="false" ht="15" hidden="false" customHeight="false" outlineLevel="0" collapsed="false">
      <c r="A339" s="2" t="s">
        <v>412</v>
      </c>
      <c r="B339" s="2" t="s">
        <v>21</v>
      </c>
      <c r="C339" s="2" t="s">
        <v>34</v>
      </c>
      <c r="D339" s="2" t="s">
        <v>17</v>
      </c>
      <c r="E339" s="2" t="s">
        <v>23</v>
      </c>
      <c r="F339" s="2" t="s">
        <v>19</v>
      </c>
      <c r="G339" s="2" t="n">
        <v>2014</v>
      </c>
      <c r="H339" s="3" t="n">
        <v>9859.6</v>
      </c>
      <c r="I339" s="3" t="n">
        <v>4832.5</v>
      </c>
      <c r="J339" s="3" t="n">
        <v>5032.9</v>
      </c>
      <c r="K339" s="3" t="n">
        <v>2441.1</v>
      </c>
      <c r="L339" s="4" t="n">
        <v>24.7586109</v>
      </c>
      <c r="M339" s="3" t="n">
        <v>7418.5</v>
      </c>
      <c r="N339" s="4" t="n">
        <v>75.2413891</v>
      </c>
      <c r="O339" s="9" t="n">
        <f aca="false">$C$5-G339</f>
        <v>12</v>
      </c>
      <c r="P339" s="3" t="n">
        <f aca="false">H339/O339</f>
        <v>821.633333333333</v>
      </c>
      <c r="Q339" s="2" t="str">
        <f aca="false">IF(G339&lt;2010,"Legacy (pre-2010)",IF(G339&lt;=2017,"Established (2010-2017)","Emerging (2018+)"))</f>
        <v>Established (2010-2017)</v>
      </c>
    </row>
    <row r="340" customFormat="false" ht="15" hidden="false" customHeight="false" outlineLevel="0" collapsed="false">
      <c r="A340" s="2" t="s">
        <v>413</v>
      </c>
      <c r="B340" s="2" t="s">
        <v>15</v>
      </c>
      <c r="C340" s="2" t="s">
        <v>90</v>
      </c>
      <c r="D340" s="2" t="s">
        <v>25</v>
      </c>
      <c r="E340" s="2" t="s">
        <v>83</v>
      </c>
      <c r="F340" s="2" t="s">
        <v>19</v>
      </c>
      <c r="G340" s="2" t="n">
        <v>2023</v>
      </c>
      <c r="H340" s="3" t="n">
        <v>9854</v>
      </c>
      <c r="I340" s="3" t="n">
        <v>8668.1</v>
      </c>
      <c r="J340" s="3" t="n">
        <v>1197.3</v>
      </c>
      <c r="K340" s="3" t="n">
        <v>2611.1</v>
      </c>
      <c r="L340" s="4" t="n">
        <v>26.49786889</v>
      </c>
      <c r="M340" s="3" t="n">
        <v>7242.9</v>
      </c>
      <c r="N340" s="4" t="n">
        <v>73.50213111</v>
      </c>
      <c r="O340" s="9" t="n">
        <f aca="false">$C$5-G340</f>
        <v>3</v>
      </c>
      <c r="P340" s="3" t="n">
        <f aca="false">H340/O340</f>
        <v>3284.66666666667</v>
      </c>
      <c r="Q340" s="2" t="str">
        <f aca="false">IF(G340&lt;2010,"Legacy (pre-2010)",IF(G340&lt;=2017,"Established (2010-2017)","Emerging (2018+)"))</f>
        <v>Emerging (2018+)</v>
      </c>
    </row>
    <row r="341" customFormat="false" ht="15" hidden="false" customHeight="false" outlineLevel="0" collapsed="false">
      <c r="A341" s="2" t="s">
        <v>414</v>
      </c>
      <c r="B341" s="2" t="s">
        <v>21</v>
      </c>
      <c r="C341" s="2" t="s">
        <v>22</v>
      </c>
      <c r="D341" s="2" t="s">
        <v>17</v>
      </c>
      <c r="E341" s="2" t="s">
        <v>23</v>
      </c>
      <c r="F341" s="2" t="s">
        <v>19</v>
      </c>
      <c r="G341" s="2" t="n">
        <v>2019</v>
      </c>
      <c r="H341" s="3" t="n">
        <v>9797.8</v>
      </c>
      <c r="I341" s="3" t="n">
        <v>9279.7</v>
      </c>
      <c r="J341" s="3" t="n">
        <v>543.3</v>
      </c>
      <c r="K341" s="3" t="n">
        <v>8953.2</v>
      </c>
      <c r="L341" s="4" t="n">
        <v>91.37969748</v>
      </c>
      <c r="M341" s="3" t="n">
        <v>844.6</v>
      </c>
      <c r="N341" s="4" t="n">
        <v>8.620302517</v>
      </c>
      <c r="O341" s="9" t="n">
        <f aca="false">$C$5-G341</f>
        <v>7</v>
      </c>
      <c r="P341" s="3" t="n">
        <f aca="false">H341/O341</f>
        <v>1399.68571428571</v>
      </c>
      <c r="Q341" s="2" t="str">
        <f aca="false">IF(G341&lt;2010,"Legacy (pre-2010)",IF(G341&lt;=2017,"Established (2010-2017)","Emerging (2018+)"))</f>
        <v>Emerging (2018+)</v>
      </c>
    </row>
    <row r="342" customFormat="false" ht="15" hidden="false" customHeight="false" outlineLevel="0" collapsed="false">
      <c r="A342" s="2" t="s">
        <v>415</v>
      </c>
      <c r="B342" s="2" t="s">
        <v>15</v>
      </c>
      <c r="C342" s="2" t="s">
        <v>22</v>
      </c>
      <c r="D342" s="2" t="s">
        <v>17</v>
      </c>
      <c r="E342" s="2" t="s">
        <v>18</v>
      </c>
      <c r="F342" s="2" t="s">
        <v>19</v>
      </c>
      <c r="G342" s="2" t="n">
        <v>1997</v>
      </c>
      <c r="H342" s="3" t="n">
        <v>9734</v>
      </c>
      <c r="I342" s="3" t="n">
        <v>4314.3</v>
      </c>
      <c r="J342" s="3" t="n">
        <v>5425.4</v>
      </c>
      <c r="K342" s="3" t="n">
        <v>31</v>
      </c>
      <c r="L342" s="4" t="n">
        <v>0.3184713376</v>
      </c>
      <c r="M342" s="3" t="n">
        <v>9703</v>
      </c>
      <c r="N342" s="4" t="n">
        <v>99.68152866</v>
      </c>
      <c r="O342" s="9" t="n">
        <f aca="false">$C$5-G342</f>
        <v>29</v>
      </c>
      <c r="P342" s="3" t="n">
        <f aca="false">H342/O342</f>
        <v>335.655172413793</v>
      </c>
      <c r="Q342" s="2" t="str">
        <f aca="false">IF(G342&lt;2010,"Legacy (pre-2010)",IF(G342&lt;=2017,"Established (2010-2017)","Emerging (2018+)"))</f>
        <v>Legacy (pre-2010)</v>
      </c>
    </row>
    <row r="343" customFormat="false" ht="15" hidden="false" customHeight="false" outlineLevel="0" collapsed="false">
      <c r="A343" s="2" t="s">
        <v>416</v>
      </c>
      <c r="B343" s="2" t="s">
        <v>15</v>
      </c>
      <c r="C343" s="2" t="s">
        <v>22</v>
      </c>
      <c r="D343" s="2" t="s">
        <v>17</v>
      </c>
      <c r="E343" s="2" t="s">
        <v>28</v>
      </c>
      <c r="F343" s="2" t="s">
        <v>19</v>
      </c>
      <c r="G343" s="2" t="n">
        <v>2009</v>
      </c>
      <c r="H343" s="3" t="n">
        <v>9713</v>
      </c>
      <c r="I343" s="3" t="n">
        <v>5586.8</v>
      </c>
      <c r="J343" s="3" t="n">
        <v>4126.1</v>
      </c>
      <c r="K343" s="3" t="n">
        <v>2334.8</v>
      </c>
      <c r="L343" s="4" t="n">
        <v>24.03788737</v>
      </c>
      <c r="M343" s="3" t="n">
        <v>7378.2</v>
      </c>
      <c r="N343" s="4" t="n">
        <v>75.96211263</v>
      </c>
      <c r="O343" s="9" t="n">
        <f aca="false">$C$5-G343</f>
        <v>17</v>
      </c>
      <c r="P343" s="3" t="n">
        <f aca="false">H343/O343</f>
        <v>571.352941176471</v>
      </c>
      <c r="Q343" s="2" t="str">
        <f aca="false">IF(G343&lt;2010,"Legacy (pre-2010)",IF(G343&lt;=2017,"Established (2010-2017)","Emerging (2018+)"))</f>
        <v>Legacy (pre-2010)</v>
      </c>
    </row>
    <row r="344" customFormat="false" ht="15" hidden="false" customHeight="false" outlineLevel="0" collapsed="false">
      <c r="A344" s="2" t="s">
        <v>417</v>
      </c>
      <c r="B344" s="2" t="s">
        <v>15</v>
      </c>
      <c r="C344" s="2" t="s">
        <v>22</v>
      </c>
      <c r="D344" s="2" t="s">
        <v>17</v>
      </c>
      <c r="E344" s="2" t="s">
        <v>273</v>
      </c>
      <c r="F344" s="2" t="s">
        <v>49</v>
      </c>
      <c r="G344" s="2" t="n">
        <v>2012</v>
      </c>
      <c r="H344" s="3" t="n">
        <v>9666.1</v>
      </c>
      <c r="I344" s="3" t="n">
        <v>9207.9</v>
      </c>
      <c r="J344" s="3" t="n">
        <v>460.8</v>
      </c>
      <c r="K344" s="3" t="n">
        <v>9168.3</v>
      </c>
      <c r="L344" s="4" t="n">
        <v>94.85004293</v>
      </c>
      <c r="M344" s="3" t="n">
        <v>497.8</v>
      </c>
      <c r="N344" s="4" t="n">
        <v>5.149957066</v>
      </c>
      <c r="O344" s="9" t="n">
        <f aca="false">$C$5-G344</f>
        <v>14</v>
      </c>
      <c r="P344" s="3" t="n">
        <f aca="false">H344/O344</f>
        <v>690.435714285714</v>
      </c>
      <c r="Q344" s="2" t="str">
        <f aca="false">IF(G344&lt;2010,"Legacy (pre-2010)",IF(G344&lt;=2017,"Established (2010-2017)","Emerging (2018+)"))</f>
        <v>Established (2010-2017)</v>
      </c>
    </row>
    <row r="345" customFormat="false" ht="15" hidden="false" customHeight="false" outlineLevel="0" collapsed="false">
      <c r="A345" s="2" t="s">
        <v>418</v>
      </c>
      <c r="B345" s="2" t="s">
        <v>15</v>
      </c>
      <c r="C345" s="2" t="s">
        <v>90</v>
      </c>
      <c r="D345" s="2" t="s">
        <v>25</v>
      </c>
      <c r="E345" s="2" t="s">
        <v>83</v>
      </c>
      <c r="F345" s="2" t="s">
        <v>19</v>
      </c>
      <c r="G345" s="2" t="n">
        <v>2020</v>
      </c>
      <c r="H345" s="3" t="n">
        <v>9609</v>
      </c>
      <c r="I345" s="3" t="n">
        <v>5573.7</v>
      </c>
      <c r="J345" s="3" t="n">
        <v>4061</v>
      </c>
      <c r="K345" s="3" t="n">
        <v>436.8</v>
      </c>
      <c r="L345" s="4" t="n">
        <v>4.54573837</v>
      </c>
      <c r="M345" s="3" t="n">
        <v>9172.2</v>
      </c>
      <c r="N345" s="4" t="n">
        <v>95.45426163</v>
      </c>
      <c r="O345" s="9" t="n">
        <f aca="false">$C$5-G345</f>
        <v>6</v>
      </c>
      <c r="P345" s="3" t="n">
        <f aca="false">H345/O345</f>
        <v>1601.5</v>
      </c>
      <c r="Q345" s="2" t="str">
        <f aca="false">IF(G345&lt;2010,"Legacy (pre-2010)",IF(G345&lt;=2017,"Established (2010-2017)","Emerging (2018+)"))</f>
        <v>Emerging (2018+)</v>
      </c>
    </row>
    <row r="346" customFormat="false" ht="15" hidden="false" customHeight="false" outlineLevel="0" collapsed="false">
      <c r="A346" s="2" t="s">
        <v>419</v>
      </c>
      <c r="B346" s="2" t="s">
        <v>15</v>
      </c>
      <c r="C346" s="2" t="s">
        <v>22</v>
      </c>
      <c r="D346" s="2" t="s">
        <v>17</v>
      </c>
      <c r="E346" s="2" t="s">
        <v>28</v>
      </c>
      <c r="F346" s="2" t="s">
        <v>19</v>
      </c>
      <c r="G346" s="2" t="n">
        <v>2014</v>
      </c>
      <c r="H346" s="3" t="n">
        <v>9513.7</v>
      </c>
      <c r="I346" s="3" t="n">
        <v>9454.3</v>
      </c>
      <c r="J346" s="3" t="n">
        <v>63.4</v>
      </c>
      <c r="K346" s="3" t="n">
        <v>1289.2</v>
      </c>
      <c r="L346" s="4" t="n">
        <v>13.55098437</v>
      </c>
      <c r="M346" s="3" t="n">
        <v>8224.5</v>
      </c>
      <c r="N346" s="4" t="n">
        <v>86.44901563</v>
      </c>
      <c r="O346" s="9" t="n">
        <f aca="false">$C$5-G346</f>
        <v>12</v>
      </c>
      <c r="P346" s="3" t="n">
        <f aca="false">H346/O346</f>
        <v>792.808333333333</v>
      </c>
      <c r="Q346" s="2" t="str">
        <f aca="false">IF(G346&lt;2010,"Legacy (pre-2010)",IF(G346&lt;=2017,"Established (2010-2017)","Emerging (2018+)"))</f>
        <v>Established (2010-2017)</v>
      </c>
    </row>
    <row r="347" customFormat="false" ht="15" hidden="false" customHeight="false" outlineLevel="0" collapsed="false">
      <c r="A347" s="2" t="s">
        <v>420</v>
      </c>
      <c r="B347" s="2" t="s">
        <v>15</v>
      </c>
      <c r="C347" s="2" t="s">
        <v>95</v>
      </c>
      <c r="D347" s="2" t="s">
        <v>17</v>
      </c>
      <c r="E347" s="2" t="s">
        <v>28</v>
      </c>
      <c r="F347" s="2" t="s">
        <v>49</v>
      </c>
      <c r="G347" s="2" t="n">
        <v>2014</v>
      </c>
      <c r="H347" s="3" t="n">
        <v>9513</v>
      </c>
      <c r="I347" s="3" t="n">
        <v>9329.3</v>
      </c>
      <c r="J347" s="3" t="n">
        <v>185.8</v>
      </c>
      <c r="K347" s="3" t="n">
        <v>8793</v>
      </c>
      <c r="L347" s="4" t="n">
        <v>92.43140965</v>
      </c>
      <c r="M347" s="3" t="n">
        <v>720</v>
      </c>
      <c r="N347" s="4" t="n">
        <v>7.56859035</v>
      </c>
      <c r="O347" s="9" t="n">
        <f aca="false">$C$5-G347</f>
        <v>12</v>
      </c>
      <c r="P347" s="3" t="n">
        <f aca="false">H347/O347</f>
        <v>792.75</v>
      </c>
      <c r="Q347" s="2" t="str">
        <f aca="false">IF(G347&lt;2010,"Legacy (pre-2010)",IF(G347&lt;=2017,"Established (2010-2017)","Emerging (2018+)"))</f>
        <v>Established (2010-2017)</v>
      </c>
    </row>
    <row r="348" customFormat="false" ht="15" hidden="false" customHeight="false" outlineLevel="0" collapsed="false">
      <c r="A348" s="2" t="s">
        <v>421</v>
      </c>
      <c r="B348" s="2" t="s">
        <v>15</v>
      </c>
      <c r="C348" s="2" t="s">
        <v>90</v>
      </c>
      <c r="D348" s="2" t="s">
        <v>25</v>
      </c>
      <c r="E348" s="2" t="s">
        <v>91</v>
      </c>
      <c r="F348" s="2" t="s">
        <v>49</v>
      </c>
      <c r="G348" s="2" t="n">
        <v>2007</v>
      </c>
      <c r="H348" s="3" t="n">
        <v>9503.3</v>
      </c>
      <c r="I348" s="3" t="n">
        <v>2467.8</v>
      </c>
      <c r="J348" s="3" t="n">
        <v>7045.9</v>
      </c>
      <c r="K348" s="3" t="n">
        <v>9278.4</v>
      </c>
      <c r="L348" s="4" t="n">
        <v>97.63345364</v>
      </c>
      <c r="M348" s="3" t="n">
        <v>224.9</v>
      </c>
      <c r="N348" s="4" t="n">
        <v>2.366546358</v>
      </c>
      <c r="O348" s="9" t="n">
        <f aca="false">$C$5-G348</f>
        <v>19</v>
      </c>
      <c r="P348" s="3" t="n">
        <f aca="false">H348/O348</f>
        <v>500.173684210526</v>
      </c>
      <c r="Q348" s="2" t="str">
        <f aca="false">IF(G348&lt;2010,"Legacy (pre-2010)",IF(G348&lt;=2017,"Established (2010-2017)","Emerging (2018+)"))</f>
        <v>Legacy (pre-2010)</v>
      </c>
    </row>
    <row r="349" customFormat="false" ht="15" hidden="false" customHeight="false" outlineLevel="0" collapsed="false">
      <c r="A349" s="2" t="s">
        <v>422</v>
      </c>
      <c r="B349" s="2" t="s">
        <v>15</v>
      </c>
      <c r="C349" s="2" t="s">
        <v>22</v>
      </c>
      <c r="D349" s="2" t="s">
        <v>25</v>
      </c>
      <c r="E349" s="2" t="s">
        <v>152</v>
      </c>
      <c r="F349" s="2" t="s">
        <v>19</v>
      </c>
      <c r="G349" s="2" t="n">
        <v>2010</v>
      </c>
      <c r="H349" s="3" t="n">
        <v>9495.2</v>
      </c>
      <c r="I349" s="3" t="n">
        <v>6483.6</v>
      </c>
      <c r="J349" s="3" t="n">
        <v>3011.7</v>
      </c>
      <c r="K349" s="3" t="n">
        <v>4320.4</v>
      </c>
      <c r="L349" s="4" t="n">
        <v>45.50088466</v>
      </c>
      <c r="M349" s="3" t="n">
        <v>5174.8</v>
      </c>
      <c r="N349" s="4" t="n">
        <v>54.49911534</v>
      </c>
      <c r="O349" s="9" t="n">
        <f aca="false">$C$5-G349</f>
        <v>16</v>
      </c>
      <c r="P349" s="3" t="n">
        <f aca="false">H349/O349</f>
        <v>593.45</v>
      </c>
      <c r="Q349" s="2" t="str">
        <f aca="false">IF(G349&lt;2010,"Legacy (pre-2010)",IF(G349&lt;=2017,"Established (2010-2017)","Emerging (2018+)"))</f>
        <v>Established (2010-2017)</v>
      </c>
    </row>
    <row r="350" customFormat="false" ht="15" hidden="false" customHeight="false" outlineLevel="0" collapsed="false">
      <c r="A350" s="2" t="s">
        <v>423</v>
      </c>
      <c r="B350" s="2" t="s">
        <v>15</v>
      </c>
      <c r="C350" s="2" t="s">
        <v>34</v>
      </c>
      <c r="D350" s="2" t="s">
        <v>17</v>
      </c>
      <c r="E350" s="2" t="s">
        <v>58</v>
      </c>
      <c r="F350" s="2" t="s">
        <v>49</v>
      </c>
      <c r="G350" s="2" t="n">
        <v>2010</v>
      </c>
      <c r="H350" s="3" t="n">
        <v>9439.9</v>
      </c>
      <c r="I350" s="3" t="n">
        <v>4498.2</v>
      </c>
      <c r="J350" s="3" t="n">
        <v>4948.6</v>
      </c>
      <c r="K350" s="3" t="n">
        <v>5621.4</v>
      </c>
      <c r="L350" s="4" t="n">
        <v>59.54935963</v>
      </c>
      <c r="M350" s="3" t="n">
        <v>3818.5</v>
      </c>
      <c r="N350" s="4" t="n">
        <v>40.45064037</v>
      </c>
      <c r="O350" s="9" t="n">
        <f aca="false">$C$5-G350</f>
        <v>16</v>
      </c>
      <c r="P350" s="3" t="n">
        <f aca="false">H350/O350</f>
        <v>589.99375</v>
      </c>
      <c r="Q350" s="2" t="str">
        <f aca="false">IF(G350&lt;2010,"Legacy (pre-2010)",IF(G350&lt;=2017,"Established (2010-2017)","Emerging (2018+)"))</f>
        <v>Established (2010-2017)</v>
      </c>
    </row>
    <row r="351" customFormat="false" ht="15" hidden="false" customHeight="false" outlineLevel="0" collapsed="false">
      <c r="A351" s="2" t="s">
        <v>424</v>
      </c>
      <c r="B351" s="2" t="s">
        <v>15</v>
      </c>
      <c r="C351" s="2" t="s">
        <v>408</v>
      </c>
      <c r="D351" s="2" t="s">
        <v>409</v>
      </c>
      <c r="E351" s="2" t="s">
        <v>18</v>
      </c>
      <c r="F351" s="2" t="s">
        <v>19</v>
      </c>
      <c r="G351" s="2" t="n">
        <v>2011</v>
      </c>
      <c r="H351" s="3" t="n">
        <v>9437.3</v>
      </c>
      <c r="I351" s="3" t="n">
        <v>6110.3</v>
      </c>
      <c r="J351" s="3" t="n">
        <v>3331.7</v>
      </c>
      <c r="K351" s="3" t="n">
        <v>2399.2</v>
      </c>
      <c r="L351" s="4" t="n">
        <v>25.42252551</v>
      </c>
      <c r="M351" s="3" t="n">
        <v>7038.1</v>
      </c>
      <c r="N351" s="4" t="n">
        <v>74.57747449</v>
      </c>
      <c r="O351" s="9" t="n">
        <f aca="false">$C$5-G351</f>
        <v>15</v>
      </c>
      <c r="P351" s="3" t="n">
        <f aca="false">H351/O351</f>
        <v>629.153333333333</v>
      </c>
      <c r="Q351" s="2" t="str">
        <f aca="false">IF(G351&lt;2010,"Legacy (pre-2010)",IF(G351&lt;=2017,"Established (2010-2017)","Emerging (2018+)"))</f>
        <v>Established (2010-2017)</v>
      </c>
    </row>
    <row r="352" customFormat="false" ht="15" hidden="false" customHeight="false" outlineLevel="0" collapsed="false">
      <c r="A352" s="2" t="s">
        <v>425</v>
      </c>
      <c r="B352" s="2" t="s">
        <v>21</v>
      </c>
      <c r="C352" s="2" t="s">
        <v>34</v>
      </c>
      <c r="D352" s="2" t="s">
        <v>17</v>
      </c>
      <c r="E352" s="2" t="s">
        <v>52</v>
      </c>
      <c r="F352" s="2" t="s">
        <v>49</v>
      </c>
      <c r="G352" s="2" t="n">
        <v>2009</v>
      </c>
      <c r="H352" s="3" t="n">
        <v>9401</v>
      </c>
      <c r="I352" s="3" t="n">
        <v>8691.5</v>
      </c>
      <c r="J352" s="3" t="n">
        <v>712.9</v>
      </c>
      <c r="K352" s="3" t="n">
        <v>8081.2</v>
      </c>
      <c r="L352" s="4" t="n">
        <v>85.96106797</v>
      </c>
      <c r="M352" s="3" t="n">
        <v>1319.8</v>
      </c>
      <c r="N352" s="4" t="n">
        <v>14.03893203</v>
      </c>
      <c r="O352" s="9" t="n">
        <f aca="false">$C$5-G352</f>
        <v>17</v>
      </c>
      <c r="P352" s="3" t="n">
        <f aca="false">H352/O352</f>
        <v>553</v>
      </c>
      <c r="Q352" s="2" t="str">
        <f aca="false">IF(G352&lt;2010,"Legacy (pre-2010)",IF(G352&lt;=2017,"Established (2010-2017)","Emerging (2018+)"))</f>
        <v>Legacy (pre-2010)</v>
      </c>
    </row>
    <row r="353" customFormat="false" ht="15" hidden="false" customHeight="false" outlineLevel="0" collapsed="false">
      <c r="A353" s="2" t="s">
        <v>426</v>
      </c>
      <c r="B353" s="2" t="s">
        <v>15</v>
      </c>
      <c r="C353" s="2" t="s">
        <v>22</v>
      </c>
      <c r="D353" s="2" t="s">
        <v>17</v>
      </c>
      <c r="E353" s="2" t="s">
        <v>18</v>
      </c>
      <c r="F353" s="2" t="s">
        <v>19</v>
      </c>
      <c r="G353" s="2" t="n">
        <v>2008</v>
      </c>
      <c r="H353" s="3" t="n">
        <v>9362.3</v>
      </c>
      <c r="I353" s="3" t="n">
        <v>4260.1</v>
      </c>
      <c r="J353" s="3" t="n">
        <v>5102.2</v>
      </c>
      <c r="K353" s="3" t="n">
        <v>1075.6</v>
      </c>
      <c r="L353" s="4" t="n">
        <v>11.48862993</v>
      </c>
      <c r="M353" s="3" t="n">
        <v>8286.7</v>
      </c>
      <c r="N353" s="4" t="n">
        <v>88.51137007</v>
      </c>
      <c r="O353" s="9" t="n">
        <f aca="false">$C$5-G353</f>
        <v>18</v>
      </c>
      <c r="P353" s="3" t="n">
        <f aca="false">H353/O353</f>
        <v>520.127777777778</v>
      </c>
      <c r="Q353" s="2" t="str">
        <f aca="false">IF(G353&lt;2010,"Legacy (pre-2010)",IF(G353&lt;=2017,"Established (2010-2017)","Emerging (2018+)"))</f>
        <v>Legacy (pre-2010)</v>
      </c>
    </row>
    <row r="354" customFormat="false" ht="15" hidden="false" customHeight="false" outlineLevel="0" collapsed="false">
      <c r="A354" s="2" t="s">
        <v>427</v>
      </c>
      <c r="B354" s="2" t="s">
        <v>15</v>
      </c>
      <c r="C354" s="2" t="s">
        <v>243</v>
      </c>
      <c r="D354" s="2" t="s">
        <v>25</v>
      </c>
      <c r="E354" s="2" t="s">
        <v>83</v>
      </c>
      <c r="F354" s="2" t="s">
        <v>19</v>
      </c>
      <c r="G354" s="2" t="n">
        <v>1989</v>
      </c>
      <c r="H354" s="3" t="n">
        <v>9340.1</v>
      </c>
      <c r="I354" s="3" t="n">
        <v>6691.7</v>
      </c>
      <c r="J354" s="3" t="n">
        <v>2658.2</v>
      </c>
      <c r="K354" s="3" t="n">
        <v>5230.2</v>
      </c>
      <c r="L354" s="4" t="n">
        <v>55.99725913</v>
      </c>
      <c r="M354" s="3" t="n">
        <v>4109.9</v>
      </c>
      <c r="N354" s="4" t="n">
        <v>44.00274087</v>
      </c>
      <c r="O354" s="9" t="n">
        <f aca="false">$C$5-G354</f>
        <v>37</v>
      </c>
      <c r="P354" s="3" t="n">
        <f aca="false">H354/O354</f>
        <v>252.435135135135</v>
      </c>
      <c r="Q354" s="2" t="str">
        <f aca="false">IF(G354&lt;2010,"Legacy (pre-2010)",IF(G354&lt;=2017,"Established (2010-2017)","Emerging (2018+)"))</f>
        <v>Legacy (pre-2010)</v>
      </c>
    </row>
    <row r="355" customFormat="false" ht="15" hidden="false" customHeight="false" outlineLevel="0" collapsed="false">
      <c r="A355" s="2" t="s">
        <v>428</v>
      </c>
      <c r="B355" s="2" t="s">
        <v>15</v>
      </c>
      <c r="C355" s="2" t="s">
        <v>22</v>
      </c>
      <c r="D355" s="2" t="s">
        <v>17</v>
      </c>
      <c r="E355" s="2" t="s">
        <v>18</v>
      </c>
      <c r="F355" s="2" t="s">
        <v>19</v>
      </c>
      <c r="G355" s="2" t="n">
        <v>2017</v>
      </c>
      <c r="H355" s="3" t="n">
        <v>9314.8</v>
      </c>
      <c r="I355" s="3" t="n">
        <v>5409.5</v>
      </c>
      <c r="J355" s="3" t="n">
        <v>3905.3</v>
      </c>
      <c r="K355" s="3" t="n">
        <v>1907.2</v>
      </c>
      <c r="L355" s="4" t="n">
        <v>20.4749431</v>
      </c>
      <c r="M355" s="3" t="n">
        <v>7407.6</v>
      </c>
      <c r="N355" s="4" t="n">
        <v>79.5250569</v>
      </c>
      <c r="O355" s="9" t="n">
        <f aca="false">$C$5-G355</f>
        <v>9</v>
      </c>
      <c r="P355" s="3" t="n">
        <f aca="false">H355/O355</f>
        <v>1034.97777777778</v>
      </c>
      <c r="Q355" s="2" t="str">
        <f aca="false">IF(G355&lt;2010,"Legacy (pre-2010)",IF(G355&lt;=2017,"Established (2010-2017)","Emerging (2018+)"))</f>
        <v>Established (2010-2017)</v>
      </c>
    </row>
    <row r="356" customFormat="false" ht="15" hidden="false" customHeight="false" outlineLevel="0" collapsed="false">
      <c r="A356" s="2" t="s">
        <v>429</v>
      </c>
      <c r="B356" s="2" t="s">
        <v>15</v>
      </c>
      <c r="C356" s="2" t="s">
        <v>22</v>
      </c>
      <c r="D356" s="2" t="s">
        <v>17</v>
      </c>
      <c r="E356" s="2" t="s">
        <v>28</v>
      </c>
      <c r="F356" s="2" t="s">
        <v>19</v>
      </c>
      <c r="G356" s="2" t="n">
        <v>2018</v>
      </c>
      <c r="H356" s="3" t="n">
        <v>9302.9</v>
      </c>
      <c r="I356" s="3" t="n">
        <v>5809.3</v>
      </c>
      <c r="J356" s="3" t="n">
        <v>3497.2</v>
      </c>
      <c r="K356" s="3" t="n">
        <v>5699</v>
      </c>
      <c r="L356" s="4" t="n">
        <v>61.26046717</v>
      </c>
      <c r="M356" s="3" t="n">
        <v>3603.9</v>
      </c>
      <c r="N356" s="4" t="n">
        <v>38.73953283</v>
      </c>
      <c r="O356" s="9" t="n">
        <f aca="false">$C$5-G356</f>
        <v>8</v>
      </c>
      <c r="P356" s="3" t="n">
        <f aca="false">H356/O356</f>
        <v>1162.8625</v>
      </c>
      <c r="Q356" s="2" t="str">
        <f aca="false">IF(G356&lt;2010,"Legacy (pre-2010)",IF(G356&lt;=2017,"Established (2010-2017)","Emerging (2018+)"))</f>
        <v>Emerging (2018+)</v>
      </c>
    </row>
    <row r="357" customFormat="false" ht="15" hidden="false" customHeight="false" outlineLevel="0" collapsed="false">
      <c r="A357" s="2" t="s">
        <v>430</v>
      </c>
      <c r="B357" s="2" t="s">
        <v>15</v>
      </c>
      <c r="C357" s="2" t="s">
        <v>22</v>
      </c>
      <c r="D357" s="2" t="s">
        <v>17</v>
      </c>
      <c r="E357" s="2" t="s">
        <v>52</v>
      </c>
      <c r="F357" s="2" t="s">
        <v>19</v>
      </c>
      <c r="G357" s="2" t="n">
        <v>1971</v>
      </c>
      <c r="H357" s="3" t="n">
        <v>9290.9</v>
      </c>
      <c r="I357" s="3" t="n">
        <v>9255.2</v>
      </c>
      <c r="J357" s="3" t="n">
        <v>40.4</v>
      </c>
      <c r="K357" s="3" t="n">
        <v>9207.2</v>
      </c>
      <c r="L357" s="4" t="n">
        <v>99.09911849</v>
      </c>
      <c r="M357" s="3" t="n">
        <v>83.7</v>
      </c>
      <c r="N357" s="4" t="n">
        <v>0.9008815077</v>
      </c>
      <c r="O357" s="9" t="n">
        <f aca="false">$C$5-G357</f>
        <v>55</v>
      </c>
      <c r="P357" s="3" t="n">
        <f aca="false">H357/O357</f>
        <v>168.925454545455</v>
      </c>
      <c r="Q357" s="2" t="str">
        <f aca="false">IF(G357&lt;2010,"Legacy (pre-2010)",IF(G357&lt;=2017,"Established (2010-2017)","Emerging (2018+)"))</f>
        <v>Legacy (pre-2010)</v>
      </c>
    </row>
    <row r="358" customFormat="false" ht="15" hidden="false" customHeight="false" outlineLevel="0" collapsed="false">
      <c r="A358" s="2" t="s">
        <v>431</v>
      </c>
      <c r="B358" s="2" t="s">
        <v>15</v>
      </c>
      <c r="C358" s="2" t="s">
        <v>22</v>
      </c>
      <c r="D358" s="2" t="s">
        <v>17</v>
      </c>
      <c r="E358" s="2" t="s">
        <v>99</v>
      </c>
      <c r="F358" s="2" t="s">
        <v>19</v>
      </c>
      <c r="G358" s="2" t="n">
        <v>2007</v>
      </c>
      <c r="H358" s="3" t="n">
        <v>9213.5</v>
      </c>
      <c r="I358" s="3" t="n">
        <v>9212.7</v>
      </c>
      <c r="J358" s="3" t="n">
        <v>8.3</v>
      </c>
      <c r="K358" s="3" t="n">
        <v>7646.2</v>
      </c>
      <c r="L358" s="4" t="n">
        <v>82.98909209</v>
      </c>
      <c r="M358" s="3" t="n">
        <v>1567.3</v>
      </c>
      <c r="N358" s="4" t="n">
        <v>17.01090791</v>
      </c>
      <c r="O358" s="9" t="n">
        <f aca="false">$C$5-G358</f>
        <v>19</v>
      </c>
      <c r="P358" s="3" t="n">
        <f aca="false">H358/O358</f>
        <v>484.921052631579</v>
      </c>
      <c r="Q358" s="2" t="str">
        <f aca="false">IF(G358&lt;2010,"Legacy (pre-2010)",IF(G358&lt;=2017,"Established (2010-2017)","Emerging (2018+)"))</f>
        <v>Legacy (pre-2010)</v>
      </c>
    </row>
    <row r="359" customFormat="false" ht="15" hidden="false" customHeight="false" outlineLevel="0" collapsed="false">
      <c r="A359" s="2" t="s">
        <v>432</v>
      </c>
      <c r="B359" s="2" t="s">
        <v>15</v>
      </c>
      <c r="C359" s="2" t="s">
        <v>34</v>
      </c>
      <c r="D359" s="2" t="s">
        <v>17</v>
      </c>
      <c r="E359" s="2" t="s">
        <v>52</v>
      </c>
      <c r="F359" s="2" t="s">
        <v>49</v>
      </c>
      <c r="G359" s="2" t="n">
        <v>1999</v>
      </c>
      <c r="H359" s="3" t="n">
        <v>9212.4</v>
      </c>
      <c r="I359" s="3" t="n">
        <v>7752.7</v>
      </c>
      <c r="J359" s="3" t="n">
        <v>1460.8</v>
      </c>
      <c r="K359" s="3" t="n">
        <v>9165</v>
      </c>
      <c r="L359" s="4" t="n">
        <v>99.4854761</v>
      </c>
      <c r="M359" s="3" t="n">
        <v>47.4</v>
      </c>
      <c r="N359" s="4" t="n">
        <v>0.5145239026</v>
      </c>
      <c r="O359" s="9" t="n">
        <f aca="false">$C$5-G359</f>
        <v>27</v>
      </c>
      <c r="P359" s="3" t="n">
        <f aca="false">H359/O359</f>
        <v>341.2</v>
      </c>
      <c r="Q359" s="2" t="str">
        <f aca="false">IF(G359&lt;2010,"Legacy (pre-2010)",IF(G359&lt;=2017,"Established (2010-2017)","Emerging (2018+)"))</f>
        <v>Legacy (pre-2010)</v>
      </c>
    </row>
    <row r="360" customFormat="false" ht="15" hidden="false" customHeight="false" outlineLevel="0" collapsed="false">
      <c r="A360" s="2" t="s">
        <v>433</v>
      </c>
      <c r="B360" s="2" t="s">
        <v>15</v>
      </c>
      <c r="C360" s="2" t="s">
        <v>34</v>
      </c>
      <c r="D360" s="2" t="s">
        <v>17</v>
      </c>
      <c r="E360" s="2" t="s">
        <v>61</v>
      </c>
      <c r="F360" s="2" t="s">
        <v>19</v>
      </c>
      <c r="G360" s="2" t="n">
        <v>2015</v>
      </c>
      <c r="H360" s="3" t="n">
        <v>9206.7</v>
      </c>
      <c r="I360" s="3" t="n">
        <v>7645.1</v>
      </c>
      <c r="J360" s="3" t="n">
        <v>1564.1</v>
      </c>
      <c r="K360" s="3" t="n">
        <v>36.4</v>
      </c>
      <c r="L360" s="4" t="n">
        <v>0.3953642456</v>
      </c>
      <c r="M360" s="3" t="n">
        <v>9170.3</v>
      </c>
      <c r="N360" s="4" t="n">
        <v>99.60463575</v>
      </c>
      <c r="O360" s="9" t="n">
        <f aca="false">$C$5-G360</f>
        <v>11</v>
      </c>
      <c r="P360" s="3" t="n">
        <f aca="false">H360/O360</f>
        <v>836.972727272727</v>
      </c>
      <c r="Q360" s="2" t="str">
        <f aca="false">IF(G360&lt;2010,"Legacy (pre-2010)",IF(G360&lt;=2017,"Established (2010-2017)","Emerging (2018+)"))</f>
        <v>Established (2010-2017)</v>
      </c>
    </row>
    <row r="361" customFormat="false" ht="15" hidden="false" customHeight="false" outlineLevel="0" collapsed="false">
      <c r="A361" s="2" t="s">
        <v>434</v>
      </c>
      <c r="B361" s="2" t="s">
        <v>15</v>
      </c>
      <c r="C361" s="2" t="s">
        <v>22</v>
      </c>
      <c r="D361" s="2" t="s">
        <v>17</v>
      </c>
      <c r="E361" s="2" t="s">
        <v>23</v>
      </c>
      <c r="F361" s="2" t="s">
        <v>19</v>
      </c>
      <c r="G361" s="2" t="n">
        <v>2019</v>
      </c>
      <c r="H361" s="3" t="n">
        <v>9177.5</v>
      </c>
      <c r="I361" s="3" t="n">
        <v>7949</v>
      </c>
      <c r="J361" s="3" t="n">
        <v>1236.7</v>
      </c>
      <c r="K361" s="3" t="n">
        <v>7238.3</v>
      </c>
      <c r="L361" s="4" t="n">
        <v>78.87006265</v>
      </c>
      <c r="M361" s="3" t="n">
        <v>1939.2</v>
      </c>
      <c r="N361" s="4" t="n">
        <v>21.12993735</v>
      </c>
      <c r="O361" s="9" t="n">
        <f aca="false">$C$5-G361</f>
        <v>7</v>
      </c>
      <c r="P361" s="3" t="n">
        <f aca="false">H361/O361</f>
        <v>1311.07142857143</v>
      </c>
      <c r="Q361" s="2" t="str">
        <f aca="false">IF(G361&lt;2010,"Legacy (pre-2010)",IF(G361&lt;=2017,"Established (2010-2017)","Emerging (2018+)"))</f>
        <v>Emerging (2018+)</v>
      </c>
    </row>
    <row r="362" customFormat="false" ht="15" hidden="false" customHeight="false" outlineLevel="0" collapsed="false">
      <c r="A362" s="2" t="s">
        <v>435</v>
      </c>
      <c r="B362" s="2" t="s">
        <v>15</v>
      </c>
      <c r="C362" s="2" t="s">
        <v>43</v>
      </c>
      <c r="D362" s="2" t="s">
        <v>25</v>
      </c>
      <c r="E362" s="2" t="s">
        <v>83</v>
      </c>
      <c r="F362" s="2" t="s">
        <v>19</v>
      </c>
      <c r="G362" s="2" t="n">
        <v>1988</v>
      </c>
      <c r="H362" s="3" t="n">
        <v>9121.6</v>
      </c>
      <c r="I362" s="3" t="n">
        <v>4954.8</v>
      </c>
      <c r="J362" s="3" t="n">
        <v>4166.8</v>
      </c>
      <c r="K362" s="3" t="n">
        <v>4039.5</v>
      </c>
      <c r="L362" s="4" t="n">
        <v>44.28499386</v>
      </c>
      <c r="M362" s="3" t="n">
        <v>5082.1</v>
      </c>
      <c r="N362" s="4" t="n">
        <v>55.71500614</v>
      </c>
      <c r="O362" s="9" t="n">
        <f aca="false">$C$5-G362</f>
        <v>38</v>
      </c>
      <c r="P362" s="3" t="n">
        <f aca="false">H362/O362</f>
        <v>240.042105263158</v>
      </c>
      <c r="Q362" s="2" t="str">
        <f aca="false">IF(G362&lt;2010,"Legacy (pre-2010)",IF(G362&lt;=2017,"Established (2010-2017)","Emerging (2018+)"))</f>
        <v>Legacy (pre-2010)</v>
      </c>
    </row>
    <row r="363" customFormat="false" ht="15" hidden="false" customHeight="false" outlineLevel="0" collapsed="false">
      <c r="A363" s="2" t="s">
        <v>436</v>
      </c>
      <c r="B363" s="2" t="s">
        <v>21</v>
      </c>
      <c r="C363" s="2" t="s">
        <v>22</v>
      </c>
      <c r="D363" s="2" t="s">
        <v>17</v>
      </c>
      <c r="E363" s="2" t="s">
        <v>23</v>
      </c>
      <c r="F363" s="2" t="s">
        <v>19</v>
      </c>
      <c r="G363" s="2" t="n">
        <v>1999</v>
      </c>
      <c r="H363" s="3" t="n">
        <v>9115.7</v>
      </c>
      <c r="I363" s="3" t="n">
        <v>7543</v>
      </c>
      <c r="J363" s="3" t="n">
        <v>1578.6</v>
      </c>
      <c r="K363" s="3" t="n">
        <v>2706.2</v>
      </c>
      <c r="L363" s="4" t="n">
        <v>29.68724289</v>
      </c>
      <c r="M363" s="3" t="n">
        <v>6409.5</v>
      </c>
      <c r="N363" s="4" t="n">
        <v>70.31275711</v>
      </c>
      <c r="O363" s="9" t="n">
        <f aca="false">$C$5-G363</f>
        <v>27</v>
      </c>
      <c r="P363" s="3" t="n">
        <f aca="false">H363/O363</f>
        <v>337.618518518519</v>
      </c>
      <c r="Q363" s="2" t="str">
        <f aca="false">IF(G363&lt;2010,"Legacy (pre-2010)",IF(G363&lt;=2017,"Established (2010-2017)","Emerging (2018+)"))</f>
        <v>Legacy (pre-2010)</v>
      </c>
    </row>
    <row r="364" customFormat="false" ht="15" hidden="false" customHeight="false" outlineLevel="0" collapsed="false">
      <c r="A364" s="2" t="s">
        <v>437</v>
      </c>
      <c r="B364" s="2" t="s">
        <v>15</v>
      </c>
      <c r="C364" s="2" t="s">
        <v>90</v>
      </c>
      <c r="D364" s="2" t="s">
        <v>25</v>
      </c>
      <c r="E364" s="2" t="s">
        <v>18</v>
      </c>
      <c r="F364" s="2" t="s">
        <v>49</v>
      </c>
      <c r="G364" s="2" t="n">
        <v>2002</v>
      </c>
      <c r="H364" s="3" t="n">
        <v>9107.5</v>
      </c>
      <c r="I364" s="3" t="n">
        <v>8630.9</v>
      </c>
      <c r="J364" s="3" t="n">
        <v>487.3</v>
      </c>
      <c r="K364" s="3" t="n">
        <v>5817.4</v>
      </c>
      <c r="L364" s="4" t="n">
        <v>63.87482844</v>
      </c>
      <c r="M364" s="3" t="n">
        <v>3290.1</v>
      </c>
      <c r="N364" s="4" t="n">
        <v>36.12517156</v>
      </c>
      <c r="O364" s="9" t="n">
        <f aca="false">$C$5-G364</f>
        <v>24</v>
      </c>
      <c r="P364" s="3" t="n">
        <f aca="false">H364/O364</f>
        <v>379.479166666667</v>
      </c>
      <c r="Q364" s="2" t="str">
        <f aca="false">IF(G364&lt;2010,"Legacy (pre-2010)",IF(G364&lt;=2017,"Established (2010-2017)","Emerging (2018+)"))</f>
        <v>Legacy (pre-2010)</v>
      </c>
    </row>
    <row r="365" customFormat="false" ht="15" hidden="false" customHeight="false" outlineLevel="0" collapsed="false">
      <c r="A365" s="2" t="s">
        <v>438</v>
      </c>
      <c r="B365" s="2" t="s">
        <v>15</v>
      </c>
      <c r="C365" s="2" t="s">
        <v>22</v>
      </c>
      <c r="D365" s="2" t="s">
        <v>17</v>
      </c>
      <c r="E365" s="2" t="s">
        <v>18</v>
      </c>
      <c r="F365" s="2" t="s">
        <v>19</v>
      </c>
      <c r="G365" s="2" t="n">
        <v>2001</v>
      </c>
      <c r="H365" s="3" t="n">
        <v>9084.9</v>
      </c>
      <c r="I365" s="3" t="n">
        <v>4560.6</v>
      </c>
      <c r="J365" s="3" t="n">
        <v>4524.3</v>
      </c>
      <c r="K365" s="3" t="n">
        <v>1805.2</v>
      </c>
      <c r="L365" s="4" t="n">
        <v>19.87033429</v>
      </c>
      <c r="M365" s="3" t="n">
        <v>7279.7</v>
      </c>
      <c r="N365" s="4" t="n">
        <v>80.12966571</v>
      </c>
      <c r="O365" s="9" t="n">
        <f aca="false">$C$5-G365</f>
        <v>25</v>
      </c>
      <c r="P365" s="3" t="n">
        <f aca="false">H365/O365</f>
        <v>363.396</v>
      </c>
      <c r="Q365" s="2" t="str">
        <f aca="false">IF(G365&lt;2010,"Legacy (pre-2010)",IF(G365&lt;=2017,"Established (2010-2017)","Emerging (2018+)"))</f>
        <v>Legacy (pre-2010)</v>
      </c>
    </row>
    <row r="366" customFormat="false" ht="15" hidden="false" customHeight="false" outlineLevel="0" collapsed="false">
      <c r="A366" s="2" t="s">
        <v>439</v>
      </c>
      <c r="B366" s="2" t="s">
        <v>15</v>
      </c>
      <c r="C366" s="2" t="s">
        <v>90</v>
      </c>
      <c r="D366" s="2" t="s">
        <v>25</v>
      </c>
      <c r="E366" s="2" t="s">
        <v>91</v>
      </c>
      <c r="F366" s="2" t="s">
        <v>19</v>
      </c>
      <c r="G366" s="2" t="n">
        <v>2015</v>
      </c>
      <c r="H366" s="3" t="n">
        <v>9076.4</v>
      </c>
      <c r="I366" s="3" t="n">
        <v>3472</v>
      </c>
      <c r="J366" s="3" t="n">
        <v>5604.3</v>
      </c>
      <c r="K366" s="3" t="n">
        <v>752.1</v>
      </c>
      <c r="L366" s="4" t="n">
        <v>8.286324975</v>
      </c>
      <c r="M366" s="3" t="n">
        <v>8324.3</v>
      </c>
      <c r="N366" s="4" t="n">
        <v>91.71367503</v>
      </c>
      <c r="O366" s="9" t="n">
        <f aca="false">$C$5-G366</f>
        <v>11</v>
      </c>
      <c r="P366" s="3" t="n">
        <f aca="false">H366/O366</f>
        <v>825.127272727273</v>
      </c>
      <c r="Q366" s="2" t="str">
        <f aca="false">IF(G366&lt;2010,"Legacy (pre-2010)",IF(G366&lt;=2017,"Established (2010-2017)","Emerging (2018+)"))</f>
        <v>Established (2010-2017)</v>
      </c>
    </row>
    <row r="367" customFormat="false" ht="15" hidden="false" customHeight="false" outlineLevel="0" collapsed="false">
      <c r="A367" s="2" t="s">
        <v>440</v>
      </c>
      <c r="B367" s="2" t="s">
        <v>15</v>
      </c>
      <c r="C367" s="2" t="s">
        <v>441</v>
      </c>
      <c r="D367" s="2" t="s">
        <v>25</v>
      </c>
      <c r="E367" s="2" t="s">
        <v>83</v>
      </c>
      <c r="F367" s="2" t="s">
        <v>19</v>
      </c>
      <c r="G367" s="2" t="n">
        <v>2008</v>
      </c>
      <c r="H367" s="3" t="n">
        <v>9056.5</v>
      </c>
      <c r="I367" s="3" t="n">
        <v>5112.2</v>
      </c>
      <c r="J367" s="3" t="n">
        <v>3944.3</v>
      </c>
      <c r="K367" s="3" t="n">
        <v>561.5</v>
      </c>
      <c r="L367" s="4" t="n">
        <v>6.199966875</v>
      </c>
      <c r="M367" s="3" t="n">
        <v>8495</v>
      </c>
      <c r="N367" s="4" t="n">
        <v>93.80003313</v>
      </c>
      <c r="O367" s="9" t="n">
        <f aca="false">$C$5-G367</f>
        <v>18</v>
      </c>
      <c r="P367" s="3" t="n">
        <f aca="false">H367/O367</f>
        <v>503.138888888889</v>
      </c>
      <c r="Q367" s="2" t="str">
        <f aca="false">IF(G367&lt;2010,"Legacy (pre-2010)",IF(G367&lt;=2017,"Established (2010-2017)","Emerging (2018+)"))</f>
        <v>Legacy (pre-2010)</v>
      </c>
    </row>
    <row r="368" customFormat="false" ht="15" hidden="false" customHeight="false" outlineLevel="0" collapsed="false">
      <c r="A368" s="2" t="s">
        <v>442</v>
      </c>
      <c r="B368" s="2" t="s">
        <v>21</v>
      </c>
      <c r="C368" s="2" t="s">
        <v>72</v>
      </c>
      <c r="D368" s="2" t="s">
        <v>73</v>
      </c>
      <c r="E368" s="2" t="s">
        <v>74</v>
      </c>
      <c r="F368" s="2" t="s">
        <v>19</v>
      </c>
      <c r="G368" s="2" t="n">
        <v>1980</v>
      </c>
      <c r="H368" s="3" t="n">
        <v>8988.2</v>
      </c>
      <c r="I368" s="3" t="n">
        <v>2897.2</v>
      </c>
      <c r="J368" s="3" t="n">
        <v>6102.8</v>
      </c>
      <c r="K368" s="3" t="n">
        <v>551.1</v>
      </c>
      <c r="L368" s="4" t="n">
        <v>6.131372244</v>
      </c>
      <c r="M368" s="3" t="n">
        <v>8437.1</v>
      </c>
      <c r="N368" s="4" t="n">
        <v>93.86862776</v>
      </c>
      <c r="O368" s="9" t="n">
        <f aca="false">$C$5-G368</f>
        <v>46</v>
      </c>
      <c r="P368" s="3" t="n">
        <f aca="false">H368/O368</f>
        <v>195.395652173913</v>
      </c>
      <c r="Q368" s="2" t="str">
        <f aca="false">IF(G368&lt;2010,"Legacy (pre-2010)",IF(G368&lt;=2017,"Established (2010-2017)","Emerging (2018+)"))</f>
        <v>Legacy (pre-2010)</v>
      </c>
    </row>
    <row r="369" customFormat="false" ht="15" hidden="false" customHeight="false" outlineLevel="0" collapsed="false">
      <c r="A369" s="2" t="s">
        <v>443</v>
      </c>
      <c r="B369" s="2" t="s">
        <v>15</v>
      </c>
      <c r="C369" s="2" t="s">
        <v>43</v>
      </c>
      <c r="D369" s="2" t="s">
        <v>25</v>
      </c>
      <c r="E369" s="2" t="s">
        <v>26</v>
      </c>
      <c r="F369" s="2" t="s">
        <v>19</v>
      </c>
      <c r="G369" s="2" t="n">
        <v>2018</v>
      </c>
      <c r="H369" s="3" t="n">
        <v>8965</v>
      </c>
      <c r="I369" s="3" t="n">
        <v>6387.9</v>
      </c>
      <c r="J369" s="3" t="n">
        <v>2587.4</v>
      </c>
      <c r="K369" s="3" t="n">
        <v>1238.1</v>
      </c>
      <c r="L369" s="4" t="n">
        <v>13.81037368</v>
      </c>
      <c r="M369" s="3" t="n">
        <v>7726.9</v>
      </c>
      <c r="N369" s="4" t="n">
        <v>86.18962632</v>
      </c>
      <c r="O369" s="9" t="n">
        <f aca="false">$C$5-G369</f>
        <v>8</v>
      </c>
      <c r="P369" s="3" t="n">
        <f aca="false">H369/O369</f>
        <v>1120.625</v>
      </c>
      <c r="Q369" s="2" t="str">
        <f aca="false">IF(G369&lt;2010,"Legacy (pre-2010)",IF(G369&lt;=2017,"Established (2010-2017)","Emerging (2018+)"))</f>
        <v>Emerging (2018+)</v>
      </c>
    </row>
    <row r="370" customFormat="false" ht="15" hidden="false" customHeight="false" outlineLevel="0" collapsed="false">
      <c r="A370" s="2" t="s">
        <v>444</v>
      </c>
      <c r="B370" s="2" t="s">
        <v>21</v>
      </c>
      <c r="C370" s="2" t="s">
        <v>441</v>
      </c>
      <c r="D370" s="2" t="s">
        <v>25</v>
      </c>
      <c r="E370" s="2" t="s">
        <v>26</v>
      </c>
      <c r="F370" s="2" t="s">
        <v>19</v>
      </c>
      <c r="G370" s="2" t="n">
        <v>2010</v>
      </c>
      <c r="H370" s="3" t="n">
        <v>8960.1</v>
      </c>
      <c r="I370" s="3" t="n">
        <v>3564</v>
      </c>
      <c r="J370" s="3" t="n">
        <v>5398.2</v>
      </c>
      <c r="K370" s="3" t="n">
        <v>687.9</v>
      </c>
      <c r="L370" s="4" t="n">
        <v>7.677369672</v>
      </c>
      <c r="M370" s="3" t="n">
        <v>8272.2</v>
      </c>
      <c r="N370" s="4" t="n">
        <v>92.32263033</v>
      </c>
      <c r="O370" s="9" t="n">
        <f aca="false">$C$5-G370</f>
        <v>16</v>
      </c>
      <c r="P370" s="3" t="n">
        <f aca="false">H370/O370</f>
        <v>560.00625</v>
      </c>
      <c r="Q370" s="2" t="str">
        <f aca="false">IF(G370&lt;2010,"Legacy (pre-2010)",IF(G370&lt;=2017,"Established (2010-2017)","Emerging (2018+)"))</f>
        <v>Established (2010-2017)</v>
      </c>
    </row>
    <row r="371" customFormat="false" ht="15" hidden="false" customHeight="false" outlineLevel="0" collapsed="false">
      <c r="A371" s="2" t="s">
        <v>445</v>
      </c>
      <c r="B371" s="2" t="s">
        <v>15</v>
      </c>
      <c r="C371" s="2" t="s">
        <v>22</v>
      </c>
      <c r="D371" s="2" t="s">
        <v>17</v>
      </c>
      <c r="E371" s="2" t="s">
        <v>52</v>
      </c>
      <c r="F371" s="2" t="s">
        <v>19</v>
      </c>
      <c r="G371" s="2" t="n">
        <v>1973</v>
      </c>
      <c r="H371" s="3" t="n">
        <v>8927.6</v>
      </c>
      <c r="I371" s="3" t="n">
        <v>8741.2</v>
      </c>
      <c r="J371" s="3" t="n">
        <v>189.7</v>
      </c>
      <c r="K371" s="3" t="n">
        <v>8713.3</v>
      </c>
      <c r="L371" s="4" t="n">
        <v>97.59957883</v>
      </c>
      <c r="M371" s="3" t="n">
        <v>214.3</v>
      </c>
      <c r="N371" s="4" t="n">
        <v>2.400421166</v>
      </c>
      <c r="O371" s="9" t="n">
        <f aca="false">$C$5-G371</f>
        <v>53</v>
      </c>
      <c r="P371" s="3" t="n">
        <f aca="false">H371/O371</f>
        <v>168.445283018868</v>
      </c>
      <c r="Q371" s="2" t="str">
        <f aca="false">IF(G371&lt;2010,"Legacy (pre-2010)",IF(G371&lt;=2017,"Established (2010-2017)","Emerging (2018+)"))</f>
        <v>Legacy (pre-2010)</v>
      </c>
    </row>
    <row r="372" customFormat="false" ht="15" hidden="false" customHeight="false" outlineLevel="0" collapsed="false">
      <c r="A372" s="2" t="s">
        <v>446</v>
      </c>
      <c r="B372" s="2" t="s">
        <v>15</v>
      </c>
      <c r="C372" s="2" t="s">
        <v>90</v>
      </c>
      <c r="D372" s="2" t="s">
        <v>25</v>
      </c>
      <c r="E372" s="2" t="s">
        <v>91</v>
      </c>
      <c r="F372" s="2" t="s">
        <v>19</v>
      </c>
      <c r="G372" s="2" t="n">
        <v>2011</v>
      </c>
      <c r="H372" s="3" t="n">
        <v>8916</v>
      </c>
      <c r="I372" s="3" t="n">
        <v>8080</v>
      </c>
      <c r="J372" s="3" t="n">
        <v>844.9</v>
      </c>
      <c r="K372" s="3" t="n">
        <v>7975.8</v>
      </c>
      <c r="L372" s="4" t="n">
        <v>89.45491252</v>
      </c>
      <c r="M372" s="3" t="n">
        <v>940.2</v>
      </c>
      <c r="N372" s="4" t="n">
        <v>10.54508748</v>
      </c>
      <c r="O372" s="9" t="n">
        <f aca="false">$C$5-G372</f>
        <v>15</v>
      </c>
      <c r="P372" s="3" t="n">
        <f aca="false">H372/O372</f>
        <v>594.4</v>
      </c>
      <c r="Q372" s="2" t="str">
        <f aca="false">IF(G372&lt;2010,"Legacy (pre-2010)",IF(G372&lt;=2017,"Established (2010-2017)","Emerging (2018+)"))</f>
        <v>Established (2010-2017)</v>
      </c>
    </row>
    <row r="373" customFormat="false" ht="15" hidden="false" customHeight="false" outlineLevel="0" collapsed="false">
      <c r="A373" s="2" t="s">
        <v>447</v>
      </c>
      <c r="B373" s="2" t="s">
        <v>15</v>
      </c>
      <c r="C373" s="2" t="s">
        <v>22</v>
      </c>
      <c r="D373" s="2" t="s">
        <v>17</v>
      </c>
      <c r="E373" s="2" t="s">
        <v>23</v>
      </c>
      <c r="F373" s="2" t="s">
        <v>49</v>
      </c>
      <c r="G373" s="2" t="n">
        <v>2006</v>
      </c>
      <c r="H373" s="3" t="n">
        <v>8909.9</v>
      </c>
      <c r="I373" s="3" t="n">
        <v>6844.4</v>
      </c>
      <c r="J373" s="3" t="n">
        <v>2067.7</v>
      </c>
      <c r="K373" s="3" t="n">
        <v>6517.9</v>
      </c>
      <c r="L373" s="4" t="n">
        <v>73.15345851</v>
      </c>
      <c r="M373" s="3" t="n">
        <v>2392</v>
      </c>
      <c r="N373" s="4" t="n">
        <v>26.84654149</v>
      </c>
      <c r="O373" s="9" t="n">
        <f aca="false">$C$5-G373</f>
        <v>20</v>
      </c>
      <c r="P373" s="3" t="n">
        <f aca="false">H373/O373</f>
        <v>445.495</v>
      </c>
      <c r="Q373" s="2" t="str">
        <f aca="false">IF(G373&lt;2010,"Legacy (pre-2010)",IF(G373&lt;=2017,"Established (2010-2017)","Emerging (2018+)"))</f>
        <v>Legacy (pre-2010)</v>
      </c>
    </row>
    <row r="374" customFormat="false" ht="15" hidden="false" customHeight="false" outlineLevel="0" collapsed="false">
      <c r="A374" s="2" t="s">
        <v>448</v>
      </c>
      <c r="B374" s="2" t="s">
        <v>15</v>
      </c>
      <c r="C374" s="2" t="s">
        <v>129</v>
      </c>
      <c r="D374" s="2" t="s">
        <v>130</v>
      </c>
      <c r="E374" s="2" t="s">
        <v>140</v>
      </c>
      <c r="F374" s="2" t="s">
        <v>19</v>
      </c>
      <c r="G374" s="2" t="n">
        <v>1977</v>
      </c>
      <c r="H374" s="3" t="n">
        <v>8906.9</v>
      </c>
      <c r="I374" s="3" t="n">
        <v>8155.5</v>
      </c>
      <c r="J374" s="3" t="n">
        <v>751.4</v>
      </c>
      <c r="K374" s="3" t="n">
        <v>5041.5</v>
      </c>
      <c r="L374" s="4" t="n">
        <v>56.60218482</v>
      </c>
      <c r="M374" s="3" t="n">
        <v>3865.4</v>
      </c>
      <c r="N374" s="4" t="n">
        <v>43.39781518</v>
      </c>
      <c r="O374" s="9" t="n">
        <f aca="false">$C$5-G374</f>
        <v>49</v>
      </c>
      <c r="P374" s="3" t="n">
        <f aca="false">H374/O374</f>
        <v>181.773469387755</v>
      </c>
      <c r="Q374" s="2" t="str">
        <f aca="false">IF(G374&lt;2010,"Legacy (pre-2010)",IF(G374&lt;=2017,"Established (2010-2017)","Emerging (2018+)"))</f>
        <v>Legacy (pre-2010)</v>
      </c>
    </row>
    <row r="375" customFormat="false" ht="15" hidden="false" customHeight="false" outlineLevel="0" collapsed="false">
      <c r="A375" s="2" t="s">
        <v>449</v>
      </c>
      <c r="B375" s="2" t="s">
        <v>21</v>
      </c>
      <c r="C375" s="2" t="s">
        <v>22</v>
      </c>
      <c r="D375" s="2" t="s">
        <v>17</v>
      </c>
      <c r="E375" s="2" t="s">
        <v>23</v>
      </c>
      <c r="F375" s="2" t="s">
        <v>19</v>
      </c>
      <c r="G375" s="2" t="n">
        <v>2010</v>
      </c>
      <c r="H375" s="3" t="n">
        <v>8899.6</v>
      </c>
      <c r="I375" s="3" t="n">
        <v>4219.1</v>
      </c>
      <c r="J375" s="3" t="n">
        <v>4681.7</v>
      </c>
      <c r="K375" s="3" t="n">
        <v>2876.3</v>
      </c>
      <c r="L375" s="4" t="n">
        <v>32.31943009</v>
      </c>
      <c r="M375" s="3" t="n">
        <v>6023.3</v>
      </c>
      <c r="N375" s="4" t="n">
        <v>67.68056991</v>
      </c>
      <c r="O375" s="9" t="n">
        <f aca="false">$C$5-G375</f>
        <v>16</v>
      </c>
      <c r="P375" s="3" t="n">
        <f aca="false">H375/O375</f>
        <v>556.225</v>
      </c>
      <c r="Q375" s="2" t="str">
        <f aca="false">IF(G375&lt;2010,"Legacy (pre-2010)",IF(G375&lt;=2017,"Established (2010-2017)","Emerging (2018+)"))</f>
        <v>Established (2010-2017)</v>
      </c>
    </row>
    <row r="376" customFormat="false" ht="15" hidden="false" customHeight="false" outlineLevel="0" collapsed="false">
      <c r="A376" s="2" t="s">
        <v>450</v>
      </c>
      <c r="B376" s="2" t="s">
        <v>15</v>
      </c>
      <c r="C376" s="2" t="s">
        <v>22</v>
      </c>
      <c r="D376" s="2" t="s">
        <v>17</v>
      </c>
      <c r="E376" s="2" t="s">
        <v>292</v>
      </c>
      <c r="F376" s="2" t="s">
        <v>49</v>
      </c>
      <c r="G376" s="2" t="n">
        <v>1995</v>
      </c>
      <c r="H376" s="3" t="n">
        <v>8848.3</v>
      </c>
      <c r="I376" s="3" t="n">
        <v>8855.1</v>
      </c>
      <c r="J376" s="3" t="n">
        <v>0</v>
      </c>
      <c r="K376" s="3" t="n">
        <v>8823.4</v>
      </c>
      <c r="L376" s="4" t="n">
        <v>99.71859001</v>
      </c>
      <c r="M376" s="3" t="n">
        <v>24.9</v>
      </c>
      <c r="N376" s="4" t="n">
        <v>0.2814099884</v>
      </c>
      <c r="O376" s="9" t="n">
        <f aca="false">$C$5-G376</f>
        <v>31</v>
      </c>
      <c r="P376" s="3" t="n">
        <f aca="false">H376/O376</f>
        <v>285.429032258064</v>
      </c>
      <c r="Q376" s="2" t="str">
        <f aca="false">IF(G376&lt;2010,"Legacy (pre-2010)",IF(G376&lt;=2017,"Established (2010-2017)","Emerging (2018+)"))</f>
        <v>Legacy (pre-2010)</v>
      </c>
    </row>
    <row r="377" customFormat="false" ht="15" hidden="false" customHeight="false" outlineLevel="0" collapsed="false">
      <c r="A377" s="2" t="s">
        <v>451</v>
      </c>
      <c r="B377" s="2" t="s">
        <v>21</v>
      </c>
      <c r="C377" s="2" t="s">
        <v>22</v>
      </c>
      <c r="D377" s="2" t="s">
        <v>17</v>
      </c>
      <c r="E377" s="2" t="s">
        <v>23</v>
      </c>
      <c r="F377" s="2" t="s">
        <v>19</v>
      </c>
      <c r="G377" s="2" t="n">
        <v>2012</v>
      </c>
      <c r="H377" s="3" t="n">
        <v>8831</v>
      </c>
      <c r="I377" s="3" t="n">
        <v>6995.1</v>
      </c>
      <c r="J377" s="3" t="n">
        <v>1840.3</v>
      </c>
      <c r="K377" s="3" t="n">
        <v>6603.2</v>
      </c>
      <c r="L377" s="4" t="n">
        <v>74.77295889</v>
      </c>
      <c r="M377" s="3" t="n">
        <v>2227.8</v>
      </c>
      <c r="N377" s="4" t="n">
        <v>25.22704111</v>
      </c>
      <c r="O377" s="9" t="n">
        <f aca="false">$C$5-G377</f>
        <v>14</v>
      </c>
      <c r="P377" s="3" t="n">
        <f aca="false">H377/O377</f>
        <v>630.785714285714</v>
      </c>
      <c r="Q377" s="2" t="str">
        <f aca="false">IF(G377&lt;2010,"Legacy (pre-2010)",IF(G377&lt;=2017,"Established (2010-2017)","Emerging (2018+)"))</f>
        <v>Established (2010-2017)</v>
      </c>
    </row>
    <row r="378" customFormat="false" ht="15" hidden="false" customHeight="false" outlineLevel="0" collapsed="false">
      <c r="A378" s="2" t="s">
        <v>452</v>
      </c>
      <c r="B378" s="2" t="s">
        <v>21</v>
      </c>
      <c r="C378" s="2" t="s">
        <v>22</v>
      </c>
      <c r="D378" s="2" t="s">
        <v>17</v>
      </c>
      <c r="E378" s="2" t="s">
        <v>28</v>
      </c>
      <c r="F378" s="2" t="s">
        <v>19</v>
      </c>
      <c r="G378" s="2" t="n">
        <v>1985</v>
      </c>
      <c r="H378" s="3" t="n">
        <v>8828.8</v>
      </c>
      <c r="I378" s="3" t="n">
        <v>7564.4</v>
      </c>
      <c r="J378" s="3" t="n">
        <v>1267.8</v>
      </c>
      <c r="K378" s="3" t="n">
        <v>6762.6</v>
      </c>
      <c r="L378" s="4" t="n">
        <v>76.59704603</v>
      </c>
      <c r="M378" s="3" t="n">
        <v>2066.2</v>
      </c>
      <c r="N378" s="4" t="n">
        <v>23.40295397</v>
      </c>
      <c r="O378" s="9" t="n">
        <f aca="false">$C$5-G378</f>
        <v>41</v>
      </c>
      <c r="P378" s="3" t="n">
        <f aca="false">H378/O378</f>
        <v>215.336585365854</v>
      </c>
      <c r="Q378" s="2" t="str">
        <f aca="false">IF(G378&lt;2010,"Legacy (pre-2010)",IF(G378&lt;=2017,"Established (2010-2017)","Emerging (2018+)"))</f>
        <v>Legacy (pre-2010)</v>
      </c>
    </row>
    <row r="379" customFormat="false" ht="15" hidden="false" customHeight="false" outlineLevel="0" collapsed="false">
      <c r="A379" s="2" t="s">
        <v>453</v>
      </c>
      <c r="B379" s="2" t="s">
        <v>21</v>
      </c>
      <c r="C379" s="2" t="s">
        <v>148</v>
      </c>
      <c r="D379" s="2" t="s">
        <v>17</v>
      </c>
      <c r="E379" s="2" t="s">
        <v>23</v>
      </c>
      <c r="F379" s="2" t="s">
        <v>19</v>
      </c>
      <c r="G379" s="2" t="n">
        <v>2006</v>
      </c>
      <c r="H379" s="3" t="n">
        <v>8809.4</v>
      </c>
      <c r="I379" s="3" t="n">
        <v>5689.4</v>
      </c>
      <c r="J379" s="3" t="n">
        <v>3122.8</v>
      </c>
      <c r="K379" s="3" t="n">
        <v>4223.1</v>
      </c>
      <c r="L379" s="4" t="n">
        <v>47.93856562</v>
      </c>
      <c r="M379" s="3" t="n">
        <v>4586.3</v>
      </c>
      <c r="N379" s="4" t="n">
        <v>52.06143438</v>
      </c>
      <c r="O379" s="9" t="n">
        <f aca="false">$C$5-G379</f>
        <v>20</v>
      </c>
      <c r="P379" s="3" t="n">
        <f aca="false">H379/O379</f>
        <v>440.47</v>
      </c>
      <c r="Q379" s="2" t="str">
        <f aca="false">IF(G379&lt;2010,"Legacy (pre-2010)",IF(G379&lt;=2017,"Established (2010-2017)","Emerging (2018+)"))</f>
        <v>Legacy (pre-2010)</v>
      </c>
    </row>
    <row r="380" customFormat="false" ht="15" hidden="false" customHeight="false" outlineLevel="0" collapsed="false">
      <c r="A380" s="2" t="s">
        <v>454</v>
      </c>
      <c r="B380" s="2" t="s">
        <v>15</v>
      </c>
      <c r="C380" s="2" t="s">
        <v>22</v>
      </c>
      <c r="D380" s="2" t="s">
        <v>25</v>
      </c>
      <c r="E380" s="2" t="s">
        <v>26</v>
      </c>
      <c r="F380" s="2" t="s">
        <v>19</v>
      </c>
      <c r="G380" s="2" t="n">
        <v>2010</v>
      </c>
      <c r="H380" s="3" t="n">
        <v>8801.6</v>
      </c>
      <c r="I380" s="3" t="n">
        <v>1220.6</v>
      </c>
      <c r="J380" s="3" t="n">
        <v>7581</v>
      </c>
      <c r="K380" s="3" t="n">
        <v>0</v>
      </c>
      <c r="L380" s="4" t="n">
        <v>0</v>
      </c>
      <c r="M380" s="3" t="n">
        <v>8801.6</v>
      </c>
      <c r="N380" s="4" t="n">
        <v>100</v>
      </c>
      <c r="O380" s="9" t="n">
        <f aca="false">$C$5-G380</f>
        <v>16</v>
      </c>
      <c r="P380" s="3" t="n">
        <f aca="false">H380/O380</f>
        <v>550.1</v>
      </c>
      <c r="Q380" s="2" t="str">
        <f aca="false">IF(G380&lt;2010,"Legacy (pre-2010)",IF(G380&lt;=2017,"Established (2010-2017)","Emerging (2018+)"))</f>
        <v>Established (2010-2017)</v>
      </c>
    </row>
    <row r="381" customFormat="false" ht="15" hidden="false" customHeight="false" outlineLevel="0" collapsed="false">
      <c r="A381" s="2" t="s">
        <v>455</v>
      </c>
      <c r="B381" s="2" t="s">
        <v>21</v>
      </c>
      <c r="C381" s="2" t="s">
        <v>34</v>
      </c>
      <c r="D381" s="2" t="s">
        <v>17</v>
      </c>
      <c r="E381" s="2" t="s">
        <v>456</v>
      </c>
      <c r="F381" s="2" t="s">
        <v>19</v>
      </c>
      <c r="G381" s="2" t="n">
        <v>2003</v>
      </c>
      <c r="H381" s="3" t="n">
        <v>8780.4</v>
      </c>
      <c r="I381" s="3" t="n">
        <v>8238.2</v>
      </c>
      <c r="J381" s="3" t="n">
        <v>547.7</v>
      </c>
      <c r="K381" s="3" t="n">
        <v>7557.9</v>
      </c>
      <c r="L381" s="4" t="n">
        <v>86.0769441</v>
      </c>
      <c r="M381" s="3" t="n">
        <v>1222.5</v>
      </c>
      <c r="N381" s="4" t="n">
        <v>13.9230559</v>
      </c>
      <c r="O381" s="9" t="n">
        <f aca="false">$C$5-G381</f>
        <v>23</v>
      </c>
      <c r="P381" s="3" t="n">
        <f aca="false">H381/O381</f>
        <v>381.75652173913</v>
      </c>
      <c r="Q381" s="2" t="str">
        <f aca="false">IF(G381&lt;2010,"Legacy (pre-2010)",IF(G381&lt;=2017,"Established (2010-2017)","Emerging (2018+)"))</f>
        <v>Legacy (pre-2010)</v>
      </c>
    </row>
    <row r="382" customFormat="false" ht="15" hidden="false" customHeight="false" outlineLevel="0" collapsed="false">
      <c r="A382" s="2" t="s">
        <v>457</v>
      </c>
      <c r="B382" s="2" t="s">
        <v>15</v>
      </c>
      <c r="C382" s="2" t="s">
        <v>22</v>
      </c>
      <c r="D382" s="2" t="s">
        <v>17</v>
      </c>
      <c r="E382" s="2" t="s">
        <v>23</v>
      </c>
      <c r="F382" s="2" t="s">
        <v>49</v>
      </c>
      <c r="G382" s="2" t="n">
        <v>2010</v>
      </c>
      <c r="H382" s="3" t="n">
        <v>8779.9</v>
      </c>
      <c r="I382" s="3" t="n">
        <v>7850.9</v>
      </c>
      <c r="J382" s="3" t="n">
        <v>932.8</v>
      </c>
      <c r="K382" s="3" t="n">
        <v>8155.1</v>
      </c>
      <c r="L382" s="4" t="n">
        <v>92.88374583</v>
      </c>
      <c r="M382" s="3" t="n">
        <v>624.8</v>
      </c>
      <c r="N382" s="4" t="n">
        <v>7.116254171</v>
      </c>
      <c r="O382" s="9" t="n">
        <f aca="false">$C$5-G382</f>
        <v>16</v>
      </c>
      <c r="P382" s="3" t="n">
        <f aca="false">H382/O382</f>
        <v>548.74375</v>
      </c>
      <c r="Q382" s="2" t="str">
        <f aca="false">IF(G382&lt;2010,"Legacy (pre-2010)",IF(G382&lt;=2017,"Established (2010-2017)","Emerging (2018+)"))</f>
        <v>Established (2010-2017)</v>
      </c>
    </row>
    <row r="383" customFormat="false" ht="15" hidden="false" customHeight="false" outlineLevel="0" collapsed="false">
      <c r="A383" s="2" t="s">
        <v>458</v>
      </c>
      <c r="B383" s="2" t="s">
        <v>15</v>
      </c>
      <c r="C383" s="2" t="s">
        <v>72</v>
      </c>
      <c r="D383" s="2" t="s">
        <v>73</v>
      </c>
      <c r="E383" s="2" t="s">
        <v>74</v>
      </c>
      <c r="F383" s="2" t="s">
        <v>19</v>
      </c>
      <c r="G383" s="2" t="n">
        <v>2015</v>
      </c>
      <c r="H383" s="3" t="n">
        <v>8733</v>
      </c>
      <c r="I383" s="3" t="n">
        <v>2987.7</v>
      </c>
      <c r="J383" s="3" t="n">
        <v>5745.3</v>
      </c>
      <c r="K383" s="3" t="n">
        <v>6.8</v>
      </c>
      <c r="L383" s="4" t="n">
        <v>0.07786556739</v>
      </c>
      <c r="M383" s="3" t="n">
        <v>8726.2</v>
      </c>
      <c r="N383" s="4" t="n">
        <v>99.92213443</v>
      </c>
      <c r="O383" s="9" t="n">
        <f aca="false">$C$5-G383</f>
        <v>11</v>
      </c>
      <c r="P383" s="3" t="n">
        <f aca="false">H383/O383</f>
        <v>793.909090909091</v>
      </c>
      <c r="Q383" s="2" t="str">
        <f aca="false">IF(G383&lt;2010,"Legacy (pre-2010)",IF(G383&lt;=2017,"Established (2010-2017)","Emerging (2018+)"))</f>
        <v>Established (2010-2017)</v>
      </c>
    </row>
    <row r="384" customFormat="false" ht="15" hidden="false" customHeight="false" outlineLevel="0" collapsed="false">
      <c r="A384" s="2" t="s">
        <v>459</v>
      </c>
      <c r="B384" s="2" t="s">
        <v>15</v>
      </c>
      <c r="C384" s="2" t="s">
        <v>34</v>
      </c>
      <c r="D384" s="2" t="s">
        <v>17</v>
      </c>
      <c r="E384" s="2" t="s">
        <v>18</v>
      </c>
      <c r="F384" s="2" t="s">
        <v>19</v>
      </c>
      <c r="G384" s="2" t="n">
        <v>2015</v>
      </c>
      <c r="H384" s="3" t="n">
        <v>8715.2</v>
      </c>
      <c r="I384" s="3" t="n">
        <v>7648.8</v>
      </c>
      <c r="J384" s="3" t="n">
        <v>1071.6</v>
      </c>
      <c r="K384" s="3" t="n">
        <v>2526.7</v>
      </c>
      <c r="L384" s="4" t="n">
        <v>28.99187626</v>
      </c>
      <c r="M384" s="3" t="n">
        <v>6188.5</v>
      </c>
      <c r="N384" s="4" t="n">
        <v>71.00812374</v>
      </c>
      <c r="O384" s="9" t="n">
        <f aca="false">$C$5-G384</f>
        <v>11</v>
      </c>
      <c r="P384" s="3" t="n">
        <f aca="false">H384/O384</f>
        <v>792.290909090909</v>
      </c>
      <c r="Q384" s="2" t="str">
        <f aca="false">IF(G384&lt;2010,"Legacy (pre-2010)",IF(G384&lt;=2017,"Established (2010-2017)","Emerging (2018+)"))</f>
        <v>Established (2010-2017)</v>
      </c>
    </row>
    <row r="385" customFormat="false" ht="15" hidden="false" customHeight="false" outlineLevel="0" collapsed="false">
      <c r="A385" s="2" t="s">
        <v>460</v>
      </c>
      <c r="B385" s="2" t="s">
        <v>21</v>
      </c>
      <c r="C385" s="2" t="s">
        <v>16</v>
      </c>
      <c r="D385" s="2" t="s">
        <v>17</v>
      </c>
      <c r="E385" s="2" t="s">
        <v>23</v>
      </c>
      <c r="F385" s="2" t="s">
        <v>19</v>
      </c>
      <c r="G385" s="2" t="n">
        <v>2002</v>
      </c>
      <c r="H385" s="3" t="n">
        <v>8706.4</v>
      </c>
      <c r="I385" s="3" t="n">
        <v>8477.3</v>
      </c>
      <c r="J385" s="3" t="n">
        <v>233</v>
      </c>
      <c r="K385" s="3" t="n">
        <v>8083.8</v>
      </c>
      <c r="L385" s="4" t="n">
        <v>92.84893871</v>
      </c>
      <c r="M385" s="3" t="n">
        <v>622.6</v>
      </c>
      <c r="N385" s="4" t="n">
        <v>7.151061288</v>
      </c>
      <c r="O385" s="9" t="n">
        <f aca="false">$C$5-G385</f>
        <v>24</v>
      </c>
      <c r="P385" s="3" t="n">
        <f aca="false">H385/O385</f>
        <v>362.766666666667</v>
      </c>
      <c r="Q385" s="2" t="str">
        <f aca="false">IF(G385&lt;2010,"Legacy (pre-2010)",IF(G385&lt;=2017,"Established (2010-2017)","Emerging (2018+)"))</f>
        <v>Legacy (pre-2010)</v>
      </c>
    </row>
    <row r="386" customFormat="false" ht="15" hidden="false" customHeight="false" outlineLevel="0" collapsed="false">
      <c r="A386" s="2" t="s">
        <v>461</v>
      </c>
      <c r="B386" s="2" t="s">
        <v>15</v>
      </c>
      <c r="C386" s="2" t="s">
        <v>462</v>
      </c>
      <c r="D386" s="2" t="s">
        <v>17</v>
      </c>
      <c r="E386" s="2" t="s">
        <v>61</v>
      </c>
      <c r="F386" s="2" t="s">
        <v>19</v>
      </c>
      <c r="G386" s="2" t="n">
        <v>2014</v>
      </c>
      <c r="H386" s="3" t="n">
        <v>8699.2</v>
      </c>
      <c r="I386" s="3" t="n">
        <v>8316.2</v>
      </c>
      <c r="J386" s="3" t="n">
        <v>386.2</v>
      </c>
      <c r="K386" s="3" t="n">
        <v>1923.6</v>
      </c>
      <c r="L386" s="4" t="n">
        <v>22.11237815</v>
      </c>
      <c r="M386" s="3" t="n">
        <v>6775.6</v>
      </c>
      <c r="N386" s="4" t="n">
        <v>77.88762185</v>
      </c>
      <c r="O386" s="9" t="n">
        <f aca="false">$C$5-G386</f>
        <v>12</v>
      </c>
      <c r="P386" s="3" t="n">
        <f aca="false">H386/O386</f>
        <v>724.933333333333</v>
      </c>
      <c r="Q386" s="2" t="str">
        <f aca="false">IF(G386&lt;2010,"Legacy (pre-2010)",IF(G386&lt;=2017,"Established (2010-2017)","Emerging (2018+)"))</f>
        <v>Established (2010-2017)</v>
      </c>
    </row>
    <row r="387" customFormat="false" ht="15" hidden="false" customHeight="false" outlineLevel="0" collapsed="false">
      <c r="A387" s="2" t="s">
        <v>463</v>
      </c>
      <c r="B387" s="2" t="s">
        <v>15</v>
      </c>
      <c r="C387" s="2" t="s">
        <v>22</v>
      </c>
      <c r="D387" s="2" t="s">
        <v>17</v>
      </c>
      <c r="E387" s="2" t="s">
        <v>52</v>
      </c>
      <c r="F387" s="2" t="s">
        <v>49</v>
      </c>
      <c r="G387" s="2" t="n">
        <v>2003</v>
      </c>
      <c r="H387" s="3" t="n">
        <v>8647.8</v>
      </c>
      <c r="I387" s="3" t="n">
        <v>8598.1</v>
      </c>
      <c r="J387" s="3" t="n">
        <v>54</v>
      </c>
      <c r="K387" s="3" t="n">
        <v>8555.2</v>
      </c>
      <c r="L387" s="4" t="n">
        <v>98.92920743</v>
      </c>
      <c r="M387" s="3" t="n">
        <v>92.6</v>
      </c>
      <c r="N387" s="4" t="n">
        <v>1.070792572</v>
      </c>
      <c r="O387" s="9" t="n">
        <f aca="false">$C$5-G387</f>
        <v>23</v>
      </c>
      <c r="P387" s="3" t="n">
        <f aca="false">H387/O387</f>
        <v>375.991304347826</v>
      </c>
      <c r="Q387" s="2" t="str">
        <f aca="false">IF(G387&lt;2010,"Legacy (pre-2010)",IF(G387&lt;=2017,"Established (2010-2017)","Emerging (2018+)"))</f>
        <v>Legacy (pre-2010)</v>
      </c>
    </row>
    <row r="388" customFormat="false" ht="15" hidden="false" customHeight="false" outlineLevel="0" collapsed="false">
      <c r="A388" s="2" t="s">
        <v>464</v>
      </c>
      <c r="B388" s="2" t="s">
        <v>15</v>
      </c>
      <c r="C388" s="2" t="s">
        <v>90</v>
      </c>
      <c r="D388" s="2" t="s">
        <v>25</v>
      </c>
      <c r="E388" s="2" t="s">
        <v>91</v>
      </c>
      <c r="F388" s="2" t="s">
        <v>19</v>
      </c>
      <c r="G388" s="2" t="n">
        <v>1975</v>
      </c>
      <c r="H388" s="3" t="n">
        <v>8622.1</v>
      </c>
      <c r="I388" s="3" t="n">
        <v>8534</v>
      </c>
      <c r="J388" s="3" t="n">
        <v>98.1</v>
      </c>
      <c r="K388" s="3" t="n">
        <v>7271</v>
      </c>
      <c r="L388" s="4" t="n">
        <v>84.32980364</v>
      </c>
      <c r="M388" s="3" t="n">
        <v>1351.1</v>
      </c>
      <c r="N388" s="4" t="n">
        <v>15.67019636</v>
      </c>
      <c r="O388" s="9" t="n">
        <f aca="false">$C$5-G388</f>
        <v>51</v>
      </c>
      <c r="P388" s="3" t="n">
        <f aca="false">H388/O388</f>
        <v>169.060784313726</v>
      </c>
      <c r="Q388" s="2" t="str">
        <f aca="false">IF(G388&lt;2010,"Legacy (pre-2010)",IF(G388&lt;=2017,"Established (2010-2017)","Emerging (2018+)"))</f>
        <v>Legacy (pre-2010)</v>
      </c>
    </row>
    <row r="389" customFormat="false" ht="15" hidden="false" customHeight="false" outlineLevel="0" collapsed="false">
      <c r="A389" s="2" t="s">
        <v>465</v>
      </c>
      <c r="B389" s="2" t="s">
        <v>15</v>
      </c>
      <c r="C389" s="2" t="s">
        <v>90</v>
      </c>
      <c r="D389" s="2" t="s">
        <v>25</v>
      </c>
      <c r="E389" s="2" t="s">
        <v>83</v>
      </c>
      <c r="F389" s="2" t="s">
        <v>19</v>
      </c>
      <c r="G389" s="2" t="n">
        <v>1992</v>
      </c>
      <c r="H389" s="3" t="n">
        <v>8617.1</v>
      </c>
      <c r="I389" s="3" t="n">
        <v>7717.5</v>
      </c>
      <c r="J389" s="3" t="n">
        <v>899.6</v>
      </c>
      <c r="K389" s="3" t="n">
        <v>6368.3</v>
      </c>
      <c r="L389" s="4" t="n">
        <v>73.90305323</v>
      </c>
      <c r="M389" s="3" t="n">
        <v>2248.8</v>
      </c>
      <c r="N389" s="4" t="n">
        <v>26.09694677</v>
      </c>
      <c r="O389" s="9" t="n">
        <f aca="false">$C$5-G389</f>
        <v>34</v>
      </c>
      <c r="P389" s="3" t="n">
        <f aca="false">H389/O389</f>
        <v>253.444117647059</v>
      </c>
      <c r="Q389" s="2" t="str">
        <f aca="false">IF(G389&lt;2010,"Legacy (pre-2010)",IF(G389&lt;=2017,"Established (2010-2017)","Emerging (2018+)"))</f>
        <v>Legacy (pre-2010)</v>
      </c>
    </row>
    <row r="390" customFormat="false" ht="15" hidden="false" customHeight="false" outlineLevel="0" collapsed="false">
      <c r="A390" s="2" t="s">
        <v>466</v>
      </c>
      <c r="B390" s="2" t="s">
        <v>15</v>
      </c>
      <c r="C390" s="2" t="s">
        <v>34</v>
      </c>
      <c r="D390" s="2" t="s">
        <v>17</v>
      </c>
      <c r="E390" s="2" t="s">
        <v>58</v>
      </c>
      <c r="F390" s="2" t="s">
        <v>49</v>
      </c>
      <c r="G390" s="2" t="n">
        <v>2012</v>
      </c>
      <c r="H390" s="3" t="n">
        <v>8591.1</v>
      </c>
      <c r="I390" s="3" t="n">
        <v>8578.7</v>
      </c>
      <c r="J390" s="3" t="n">
        <v>15.4</v>
      </c>
      <c r="K390" s="3" t="n">
        <v>7995.8</v>
      </c>
      <c r="L390" s="4" t="n">
        <v>93.07073599</v>
      </c>
      <c r="M390" s="3" t="n">
        <v>595.3</v>
      </c>
      <c r="N390" s="4" t="n">
        <v>6.929264006</v>
      </c>
      <c r="O390" s="9" t="n">
        <f aca="false">$C$5-G390</f>
        <v>14</v>
      </c>
      <c r="P390" s="3" t="n">
        <f aca="false">H390/O390</f>
        <v>613.65</v>
      </c>
      <c r="Q390" s="2" t="str">
        <f aca="false">IF(G390&lt;2010,"Legacy (pre-2010)",IF(G390&lt;=2017,"Established (2010-2017)","Emerging (2018+)"))</f>
        <v>Established (2010-2017)</v>
      </c>
    </row>
    <row r="391" customFormat="false" ht="15" hidden="false" customHeight="false" outlineLevel="0" collapsed="false">
      <c r="A391" s="2" t="s">
        <v>467</v>
      </c>
      <c r="B391" s="2" t="s">
        <v>15</v>
      </c>
      <c r="C391" s="2" t="s">
        <v>72</v>
      </c>
      <c r="D391" s="2" t="s">
        <v>73</v>
      </c>
      <c r="E391" s="2" t="s">
        <v>74</v>
      </c>
      <c r="F391" s="2" t="s">
        <v>49</v>
      </c>
      <c r="G391" s="2" t="n">
        <v>2009</v>
      </c>
      <c r="H391" s="3" t="n">
        <v>8584.2</v>
      </c>
      <c r="I391" s="3" t="n">
        <v>6741.1</v>
      </c>
      <c r="J391" s="3" t="n">
        <v>1843.2</v>
      </c>
      <c r="K391" s="3" t="n">
        <v>20</v>
      </c>
      <c r="L391" s="4" t="n">
        <v>0.2329861839</v>
      </c>
      <c r="M391" s="3" t="n">
        <v>8564.2</v>
      </c>
      <c r="N391" s="4" t="n">
        <v>99.76701382</v>
      </c>
      <c r="O391" s="9" t="n">
        <f aca="false">$C$5-G391</f>
        <v>17</v>
      </c>
      <c r="P391" s="3" t="n">
        <f aca="false">H391/O391</f>
        <v>504.952941176471</v>
      </c>
      <c r="Q391" s="2" t="str">
        <f aca="false">IF(G391&lt;2010,"Legacy (pre-2010)",IF(G391&lt;=2017,"Established (2010-2017)","Emerging (2018+)"))</f>
        <v>Legacy (pre-2010)</v>
      </c>
    </row>
    <row r="392" customFormat="false" ht="15" hidden="false" customHeight="false" outlineLevel="0" collapsed="false">
      <c r="A392" s="2" t="s">
        <v>468</v>
      </c>
      <c r="B392" s="2" t="s">
        <v>15</v>
      </c>
      <c r="C392" s="2" t="s">
        <v>22</v>
      </c>
      <c r="D392" s="2" t="s">
        <v>17</v>
      </c>
      <c r="E392" s="2" t="s">
        <v>18</v>
      </c>
      <c r="F392" s="2" t="s">
        <v>19</v>
      </c>
      <c r="G392" s="2" t="n">
        <v>2014</v>
      </c>
      <c r="H392" s="3" t="n">
        <v>8564.5</v>
      </c>
      <c r="I392" s="3" t="n">
        <v>5566.1</v>
      </c>
      <c r="J392" s="3" t="n">
        <v>3001.4</v>
      </c>
      <c r="K392" s="3" t="n">
        <v>3239</v>
      </c>
      <c r="L392" s="4" t="n">
        <v>37.81890361</v>
      </c>
      <c r="M392" s="3" t="n">
        <v>5325.5</v>
      </c>
      <c r="N392" s="4" t="n">
        <v>62.18109639</v>
      </c>
      <c r="O392" s="9" t="n">
        <f aca="false">$C$5-G392</f>
        <v>12</v>
      </c>
      <c r="P392" s="3" t="n">
        <f aca="false">H392/O392</f>
        <v>713.708333333333</v>
      </c>
      <c r="Q392" s="2" t="str">
        <f aca="false">IF(G392&lt;2010,"Legacy (pre-2010)",IF(G392&lt;=2017,"Established (2010-2017)","Emerging (2018+)"))</f>
        <v>Established (2010-2017)</v>
      </c>
    </row>
    <row r="393" customFormat="false" ht="15" hidden="false" customHeight="false" outlineLevel="0" collapsed="false">
      <c r="A393" s="2" t="s">
        <v>469</v>
      </c>
      <c r="B393" s="2" t="s">
        <v>15</v>
      </c>
      <c r="C393" s="2" t="s">
        <v>16</v>
      </c>
      <c r="D393" s="2" t="s">
        <v>17</v>
      </c>
      <c r="E393" s="2" t="s">
        <v>18</v>
      </c>
      <c r="F393" s="2" t="s">
        <v>19</v>
      </c>
      <c r="G393" s="2" t="n">
        <v>2017</v>
      </c>
      <c r="H393" s="3" t="n">
        <v>8564.4</v>
      </c>
      <c r="I393" s="3" t="n">
        <v>5619.6</v>
      </c>
      <c r="J393" s="3" t="n">
        <v>2944.9</v>
      </c>
      <c r="K393" s="3" t="n">
        <v>1852.6</v>
      </c>
      <c r="L393" s="4" t="n">
        <v>21.63140442</v>
      </c>
      <c r="M393" s="3" t="n">
        <v>6711.8</v>
      </c>
      <c r="N393" s="4" t="n">
        <v>78.36859558</v>
      </c>
      <c r="O393" s="9" t="n">
        <f aca="false">$C$5-G393</f>
        <v>9</v>
      </c>
      <c r="P393" s="3" t="n">
        <f aca="false">H393/O393</f>
        <v>951.6</v>
      </c>
      <c r="Q393" s="2" t="str">
        <f aca="false">IF(G393&lt;2010,"Legacy (pre-2010)",IF(G393&lt;=2017,"Established (2010-2017)","Emerging (2018+)"))</f>
        <v>Established (2010-2017)</v>
      </c>
    </row>
    <row r="394" customFormat="false" ht="15" hidden="false" customHeight="false" outlineLevel="0" collapsed="false">
      <c r="A394" s="2" t="s">
        <v>470</v>
      </c>
      <c r="B394" s="2" t="s">
        <v>15</v>
      </c>
      <c r="C394" s="2" t="s">
        <v>22</v>
      </c>
      <c r="D394" s="2" t="s">
        <v>17</v>
      </c>
      <c r="E394" s="2" t="s">
        <v>52</v>
      </c>
      <c r="F394" s="2" t="s">
        <v>19</v>
      </c>
      <c r="G394" s="2" t="n">
        <v>2001</v>
      </c>
      <c r="H394" s="3" t="n">
        <v>8551.4</v>
      </c>
      <c r="I394" s="3" t="n">
        <v>8199.3</v>
      </c>
      <c r="J394" s="3" t="n">
        <v>355</v>
      </c>
      <c r="K394" s="3" t="n">
        <v>7907.6</v>
      </c>
      <c r="L394" s="4" t="n">
        <v>92.47140819</v>
      </c>
      <c r="M394" s="3" t="n">
        <v>643.8</v>
      </c>
      <c r="N394" s="4" t="n">
        <v>7.52859181</v>
      </c>
      <c r="O394" s="9" t="n">
        <f aca="false">$C$5-G394</f>
        <v>25</v>
      </c>
      <c r="P394" s="3" t="n">
        <f aca="false">H394/O394</f>
        <v>342.056</v>
      </c>
      <c r="Q394" s="2" t="str">
        <f aca="false">IF(G394&lt;2010,"Legacy (pre-2010)",IF(G394&lt;=2017,"Established (2010-2017)","Emerging (2018+)"))</f>
        <v>Legacy (pre-2010)</v>
      </c>
    </row>
    <row r="395" customFormat="false" ht="15" hidden="false" customHeight="false" outlineLevel="0" collapsed="false">
      <c r="A395" s="2" t="s">
        <v>471</v>
      </c>
      <c r="B395" s="2" t="s">
        <v>79</v>
      </c>
      <c r="C395" s="2" t="s">
        <v>46</v>
      </c>
      <c r="D395" s="2" t="s">
        <v>47</v>
      </c>
      <c r="E395" s="2" t="s">
        <v>48</v>
      </c>
      <c r="F395" s="2" t="s">
        <v>49</v>
      </c>
      <c r="G395" s="2" t="n">
        <v>2015</v>
      </c>
      <c r="H395" s="3" t="n">
        <v>8531.3</v>
      </c>
      <c r="I395" s="3" t="n">
        <v>8465.7</v>
      </c>
      <c r="J395" s="3" t="n">
        <v>70</v>
      </c>
      <c r="K395" s="3" t="n">
        <v>8284.9</v>
      </c>
      <c r="L395" s="4" t="n">
        <v>97.1118118</v>
      </c>
      <c r="M395" s="3" t="n">
        <v>246.4</v>
      </c>
      <c r="N395" s="4" t="n">
        <v>2.888188201</v>
      </c>
      <c r="O395" s="9" t="n">
        <f aca="false">$C$5-G395</f>
        <v>11</v>
      </c>
      <c r="P395" s="3" t="n">
        <f aca="false">H395/O395</f>
        <v>775.572727272727</v>
      </c>
      <c r="Q395" s="2" t="str">
        <f aca="false">IF(G395&lt;2010,"Legacy (pre-2010)",IF(G395&lt;=2017,"Established (2010-2017)","Emerging (2018+)"))</f>
        <v>Established (2010-2017)</v>
      </c>
    </row>
    <row r="396" customFormat="false" ht="15" hidden="false" customHeight="false" outlineLevel="0" collapsed="false">
      <c r="A396" s="2" t="s">
        <v>472</v>
      </c>
      <c r="B396" s="2" t="s">
        <v>15</v>
      </c>
      <c r="C396" s="2" t="s">
        <v>205</v>
      </c>
      <c r="D396" s="2" t="s">
        <v>17</v>
      </c>
      <c r="E396" s="2" t="s">
        <v>52</v>
      </c>
      <c r="F396" s="2" t="s">
        <v>49</v>
      </c>
      <c r="G396" s="2" t="n">
        <v>2008</v>
      </c>
      <c r="H396" s="3" t="n">
        <v>8509.5</v>
      </c>
      <c r="I396" s="3" t="n">
        <v>8483.9</v>
      </c>
      <c r="J396" s="3" t="n">
        <v>29.2</v>
      </c>
      <c r="K396" s="3" t="n">
        <v>6435.4</v>
      </c>
      <c r="L396" s="4" t="n">
        <v>75.62606499</v>
      </c>
      <c r="M396" s="3" t="n">
        <v>2074.1</v>
      </c>
      <c r="N396" s="4" t="n">
        <v>24.37393501</v>
      </c>
      <c r="O396" s="9" t="n">
        <f aca="false">$C$5-G396</f>
        <v>18</v>
      </c>
      <c r="P396" s="3" t="n">
        <f aca="false">H396/O396</f>
        <v>472.75</v>
      </c>
      <c r="Q396" s="2" t="str">
        <f aca="false">IF(G396&lt;2010,"Legacy (pre-2010)",IF(G396&lt;=2017,"Established (2010-2017)","Emerging (2018+)"))</f>
        <v>Legacy (pre-2010)</v>
      </c>
    </row>
    <row r="397" customFormat="false" ht="15" hidden="false" customHeight="false" outlineLevel="0" collapsed="false">
      <c r="A397" s="2" t="s">
        <v>473</v>
      </c>
      <c r="B397" s="2" t="s">
        <v>21</v>
      </c>
      <c r="C397" s="2" t="s">
        <v>223</v>
      </c>
      <c r="D397" s="2" t="s">
        <v>25</v>
      </c>
      <c r="E397" s="2" t="s">
        <v>23</v>
      </c>
      <c r="F397" s="2" t="s">
        <v>19</v>
      </c>
      <c r="G397" s="2" t="n">
        <v>2016</v>
      </c>
      <c r="H397" s="3" t="n">
        <v>8507.9</v>
      </c>
      <c r="I397" s="3" t="n">
        <v>5811.9</v>
      </c>
      <c r="J397" s="3" t="n">
        <v>2696</v>
      </c>
      <c r="K397" s="3" t="n">
        <v>1929.8</v>
      </c>
      <c r="L397" s="4" t="n">
        <v>22.68244808</v>
      </c>
      <c r="M397" s="3" t="n">
        <v>6578.1</v>
      </c>
      <c r="N397" s="4" t="n">
        <v>77.31755192</v>
      </c>
      <c r="O397" s="9" t="n">
        <f aca="false">$C$5-G397</f>
        <v>10</v>
      </c>
      <c r="P397" s="3" t="n">
        <f aca="false">H397/O397</f>
        <v>850.79</v>
      </c>
      <c r="Q397" s="2" t="str">
        <f aca="false">IF(G397&lt;2010,"Legacy (pre-2010)",IF(G397&lt;=2017,"Established (2010-2017)","Emerging (2018+)"))</f>
        <v>Established (2010-2017)</v>
      </c>
    </row>
    <row r="398" customFormat="false" ht="15" hidden="false" customHeight="false" outlineLevel="0" collapsed="false">
      <c r="A398" s="2" t="s">
        <v>474</v>
      </c>
      <c r="B398" s="2" t="s">
        <v>79</v>
      </c>
      <c r="C398" s="2" t="s">
        <v>22</v>
      </c>
      <c r="D398" s="2" t="s">
        <v>17</v>
      </c>
      <c r="E398" s="2" t="s">
        <v>23</v>
      </c>
      <c r="F398" s="2" t="s">
        <v>49</v>
      </c>
      <c r="G398" s="2" t="n">
        <v>1996</v>
      </c>
      <c r="H398" s="3" t="n">
        <v>8485.9</v>
      </c>
      <c r="I398" s="3" t="n">
        <v>8144</v>
      </c>
      <c r="J398" s="3" t="n">
        <v>346</v>
      </c>
      <c r="K398" s="3" t="n">
        <v>8125.7</v>
      </c>
      <c r="L398" s="4" t="n">
        <v>95.75531175</v>
      </c>
      <c r="M398" s="3" t="n">
        <v>360.2</v>
      </c>
      <c r="N398" s="4" t="n">
        <v>4.244688248</v>
      </c>
      <c r="O398" s="9" t="n">
        <f aca="false">$C$5-G398</f>
        <v>30</v>
      </c>
      <c r="P398" s="3" t="n">
        <f aca="false">H398/O398</f>
        <v>282.863333333333</v>
      </c>
      <c r="Q398" s="2" t="str">
        <f aca="false">IF(G398&lt;2010,"Legacy (pre-2010)",IF(G398&lt;=2017,"Established (2010-2017)","Emerging (2018+)"))</f>
        <v>Legacy (pre-2010)</v>
      </c>
    </row>
    <row r="399" customFormat="false" ht="15" hidden="false" customHeight="false" outlineLevel="0" collapsed="false">
      <c r="A399" s="2" t="s">
        <v>475</v>
      </c>
      <c r="B399" s="2" t="s">
        <v>15</v>
      </c>
      <c r="C399" s="2" t="s">
        <v>46</v>
      </c>
      <c r="D399" s="2" t="s">
        <v>47</v>
      </c>
      <c r="E399" s="2" t="s">
        <v>48</v>
      </c>
      <c r="F399" s="2" t="s">
        <v>19</v>
      </c>
      <c r="G399" s="2" t="n">
        <v>2013</v>
      </c>
      <c r="H399" s="3" t="n">
        <v>8472.9</v>
      </c>
      <c r="I399" s="3" t="n">
        <v>7819.3</v>
      </c>
      <c r="J399" s="3" t="n">
        <v>656.6</v>
      </c>
      <c r="K399" s="3" t="n">
        <v>6967.6</v>
      </c>
      <c r="L399" s="4" t="n">
        <v>82.23394587</v>
      </c>
      <c r="M399" s="3" t="n">
        <v>1505.3</v>
      </c>
      <c r="N399" s="4" t="n">
        <v>17.76605413</v>
      </c>
      <c r="O399" s="9" t="n">
        <f aca="false">$C$5-G399</f>
        <v>13</v>
      </c>
      <c r="P399" s="3" t="n">
        <f aca="false">H399/O399</f>
        <v>651.761538461538</v>
      </c>
      <c r="Q399" s="2" t="str">
        <f aca="false">IF(G399&lt;2010,"Legacy (pre-2010)",IF(G399&lt;=2017,"Established (2010-2017)","Emerging (2018+)"))</f>
        <v>Established (2010-2017)</v>
      </c>
    </row>
    <row r="400" customFormat="false" ht="15" hidden="false" customHeight="false" outlineLevel="0" collapsed="false">
      <c r="A400" s="2" t="s">
        <v>476</v>
      </c>
      <c r="B400" s="2" t="s">
        <v>15</v>
      </c>
      <c r="C400" s="2" t="s">
        <v>22</v>
      </c>
      <c r="D400" s="2" t="s">
        <v>25</v>
      </c>
      <c r="E400" s="2" t="s">
        <v>26</v>
      </c>
      <c r="F400" s="2" t="s">
        <v>49</v>
      </c>
      <c r="G400" s="2" t="n">
        <v>2004</v>
      </c>
      <c r="H400" s="3" t="n">
        <v>8457.4</v>
      </c>
      <c r="I400" s="3" t="n">
        <v>369.6</v>
      </c>
      <c r="J400" s="3" t="n">
        <v>8087.7</v>
      </c>
      <c r="K400" s="3" t="n">
        <v>1.3</v>
      </c>
      <c r="L400" s="4" t="n">
        <v>0.01537115426</v>
      </c>
      <c r="M400" s="3" t="n">
        <v>8456.1</v>
      </c>
      <c r="N400" s="4" t="n">
        <v>99.98462885</v>
      </c>
      <c r="O400" s="9" t="n">
        <f aca="false">$C$5-G400</f>
        <v>22</v>
      </c>
      <c r="P400" s="3" t="n">
        <f aca="false">H400/O400</f>
        <v>384.427272727273</v>
      </c>
      <c r="Q400" s="2" t="str">
        <f aca="false">IF(G400&lt;2010,"Legacy (pre-2010)",IF(G400&lt;=2017,"Established (2010-2017)","Emerging (2018+)"))</f>
        <v>Legacy (pre-2010)</v>
      </c>
    </row>
    <row r="401" customFormat="false" ht="15" hidden="false" customHeight="false" outlineLevel="0" collapsed="false">
      <c r="A401" s="2" t="s">
        <v>477</v>
      </c>
      <c r="B401" s="2" t="s">
        <v>15</v>
      </c>
      <c r="C401" s="2" t="s">
        <v>22</v>
      </c>
      <c r="D401" s="2" t="s">
        <v>17</v>
      </c>
      <c r="E401" s="2" t="s">
        <v>18</v>
      </c>
      <c r="F401" s="2" t="s">
        <v>19</v>
      </c>
      <c r="G401" s="2" t="n">
        <v>2018</v>
      </c>
      <c r="H401" s="3" t="n">
        <v>8453.7</v>
      </c>
      <c r="I401" s="3" t="n">
        <v>6568.5</v>
      </c>
      <c r="J401" s="3" t="n">
        <v>1885.2</v>
      </c>
      <c r="K401" s="3" t="n">
        <v>4039.2</v>
      </c>
      <c r="L401" s="4" t="n">
        <v>47.7802619</v>
      </c>
      <c r="M401" s="3" t="n">
        <v>4414.5</v>
      </c>
      <c r="N401" s="4" t="n">
        <v>52.2197381</v>
      </c>
      <c r="O401" s="9" t="n">
        <f aca="false">$C$5-G401</f>
        <v>8</v>
      </c>
      <c r="P401" s="3" t="n">
        <f aca="false">H401/O401</f>
        <v>1056.7125</v>
      </c>
      <c r="Q401" s="2" t="str">
        <f aca="false">IF(G401&lt;2010,"Legacy (pre-2010)",IF(G401&lt;=2017,"Established (2010-2017)","Emerging (2018+)"))</f>
        <v>Emerging (2018+)</v>
      </c>
    </row>
    <row r="402" customFormat="false" ht="15" hidden="false" customHeight="false" outlineLevel="0" collapsed="false">
      <c r="A402" s="2" t="s">
        <v>478</v>
      </c>
      <c r="B402" s="2" t="s">
        <v>15</v>
      </c>
      <c r="C402" s="2" t="s">
        <v>479</v>
      </c>
      <c r="D402" s="2" t="s">
        <v>258</v>
      </c>
      <c r="E402" s="2" t="s">
        <v>18</v>
      </c>
      <c r="F402" s="2" t="s">
        <v>19</v>
      </c>
      <c r="G402" s="2" t="n">
        <v>2013</v>
      </c>
      <c r="H402" s="3" t="n">
        <v>8439.5</v>
      </c>
      <c r="I402" s="3" t="n">
        <v>6942.6</v>
      </c>
      <c r="J402" s="3" t="n">
        <v>1509.4</v>
      </c>
      <c r="K402" s="3" t="n">
        <v>3538.8</v>
      </c>
      <c r="L402" s="4" t="n">
        <v>41.93139404</v>
      </c>
      <c r="M402" s="3" t="n">
        <v>4900.7</v>
      </c>
      <c r="N402" s="4" t="n">
        <v>58.06860596</v>
      </c>
      <c r="O402" s="9" t="n">
        <f aca="false">$C$5-G402</f>
        <v>13</v>
      </c>
      <c r="P402" s="3" t="n">
        <f aca="false">H402/O402</f>
        <v>649.192307692308</v>
      </c>
      <c r="Q402" s="2" t="str">
        <f aca="false">IF(G402&lt;2010,"Legacy (pre-2010)",IF(G402&lt;=2017,"Established (2010-2017)","Emerging (2018+)"))</f>
        <v>Established (2010-2017)</v>
      </c>
    </row>
    <row r="403" customFormat="false" ht="15" hidden="false" customHeight="false" outlineLevel="0" collapsed="false">
      <c r="A403" s="2" t="s">
        <v>480</v>
      </c>
      <c r="B403" s="2" t="s">
        <v>15</v>
      </c>
      <c r="C403" s="2" t="s">
        <v>90</v>
      </c>
      <c r="D403" s="2" t="s">
        <v>25</v>
      </c>
      <c r="E403" s="2" t="s">
        <v>91</v>
      </c>
      <c r="F403" s="2" t="s">
        <v>49</v>
      </c>
      <c r="G403" s="2" t="n">
        <v>2010</v>
      </c>
      <c r="H403" s="3" t="n">
        <v>8433.8</v>
      </c>
      <c r="I403" s="3" t="n">
        <v>7838.5</v>
      </c>
      <c r="J403" s="3" t="n">
        <v>603.3</v>
      </c>
      <c r="K403" s="3" t="n">
        <v>7244.3</v>
      </c>
      <c r="L403" s="4" t="n">
        <v>85.89603737</v>
      </c>
      <c r="M403" s="3" t="n">
        <v>1189.5</v>
      </c>
      <c r="N403" s="4" t="n">
        <v>14.10396263</v>
      </c>
      <c r="O403" s="9" t="n">
        <f aca="false">$C$5-G403</f>
        <v>16</v>
      </c>
      <c r="P403" s="3" t="n">
        <f aca="false">H403/O403</f>
        <v>527.1125</v>
      </c>
      <c r="Q403" s="2" t="str">
        <f aca="false">IF(G403&lt;2010,"Legacy (pre-2010)",IF(G403&lt;=2017,"Established (2010-2017)","Emerging (2018+)"))</f>
        <v>Established (2010-2017)</v>
      </c>
    </row>
    <row r="404" customFormat="false" ht="15" hidden="false" customHeight="false" outlineLevel="0" collapsed="false">
      <c r="A404" s="2" t="s">
        <v>481</v>
      </c>
      <c r="B404" s="2" t="s">
        <v>21</v>
      </c>
      <c r="C404" s="2" t="s">
        <v>22</v>
      </c>
      <c r="D404" s="2" t="s">
        <v>17</v>
      </c>
      <c r="E404" s="2" t="s">
        <v>23</v>
      </c>
      <c r="F404" s="2" t="s">
        <v>19</v>
      </c>
      <c r="G404" s="2" t="n">
        <v>2017</v>
      </c>
      <c r="H404" s="3" t="n">
        <v>8382.9</v>
      </c>
      <c r="I404" s="3" t="n">
        <v>8387.8</v>
      </c>
      <c r="J404" s="3" t="n">
        <v>0</v>
      </c>
      <c r="K404" s="3" t="n">
        <v>8380.3</v>
      </c>
      <c r="L404" s="4" t="n">
        <v>99.96898448</v>
      </c>
      <c r="M404" s="3" t="n">
        <v>2.6</v>
      </c>
      <c r="N404" s="4" t="n">
        <v>0.03101551969</v>
      </c>
      <c r="O404" s="9" t="n">
        <f aca="false">$C$5-G404</f>
        <v>9</v>
      </c>
      <c r="P404" s="3" t="n">
        <f aca="false">H404/O404</f>
        <v>931.433333333333</v>
      </c>
      <c r="Q404" s="2" t="str">
        <f aca="false">IF(G404&lt;2010,"Legacy (pre-2010)",IF(G404&lt;=2017,"Established (2010-2017)","Emerging (2018+)"))</f>
        <v>Established (2010-2017)</v>
      </c>
    </row>
    <row r="405" customFormat="false" ht="15" hidden="false" customHeight="false" outlineLevel="0" collapsed="false">
      <c r="A405" s="2" t="s">
        <v>482</v>
      </c>
      <c r="B405" s="2" t="s">
        <v>15</v>
      </c>
      <c r="C405" s="2" t="s">
        <v>22</v>
      </c>
      <c r="D405" s="2" t="s">
        <v>17</v>
      </c>
      <c r="E405" s="2" t="s">
        <v>456</v>
      </c>
      <c r="F405" s="2" t="s">
        <v>19</v>
      </c>
      <c r="G405" s="2" t="n">
        <v>1962</v>
      </c>
      <c r="H405" s="3" t="n">
        <v>8371.5</v>
      </c>
      <c r="I405" s="3" t="n">
        <v>7723.5</v>
      </c>
      <c r="J405" s="3" t="n">
        <v>648</v>
      </c>
      <c r="K405" s="3" t="n">
        <v>7485.7</v>
      </c>
      <c r="L405" s="4" t="n">
        <v>89.41886161</v>
      </c>
      <c r="M405" s="3" t="n">
        <v>885.8</v>
      </c>
      <c r="N405" s="4" t="n">
        <v>10.58113839</v>
      </c>
      <c r="O405" s="9" t="n">
        <f aca="false">$C$5-G405</f>
        <v>64</v>
      </c>
      <c r="P405" s="3" t="n">
        <f aca="false">H405/O405</f>
        <v>130.8046875</v>
      </c>
      <c r="Q405" s="2" t="str">
        <f aca="false">IF(G405&lt;2010,"Legacy (pre-2010)",IF(G405&lt;=2017,"Established (2010-2017)","Emerging (2018+)"))</f>
        <v>Legacy (pre-2010)</v>
      </c>
    </row>
    <row r="406" customFormat="false" ht="15" hidden="false" customHeight="false" outlineLevel="0" collapsed="false">
      <c r="A406" s="2" t="s">
        <v>483</v>
      </c>
      <c r="B406" s="2" t="s">
        <v>15</v>
      </c>
      <c r="C406" s="2" t="s">
        <v>22</v>
      </c>
      <c r="D406" s="2" t="s">
        <v>17</v>
      </c>
      <c r="E406" s="2" t="s">
        <v>18</v>
      </c>
      <c r="F406" s="2" t="s">
        <v>19</v>
      </c>
      <c r="G406" s="2" t="n">
        <v>1991</v>
      </c>
      <c r="H406" s="3" t="n">
        <v>8370.9</v>
      </c>
      <c r="I406" s="3" t="n">
        <v>1884.2</v>
      </c>
      <c r="J406" s="3" t="n">
        <v>6486.7</v>
      </c>
      <c r="K406" s="3" t="n">
        <v>175.8</v>
      </c>
      <c r="L406" s="4" t="n">
        <v>2.100132602</v>
      </c>
      <c r="M406" s="3" t="n">
        <v>8195.1</v>
      </c>
      <c r="N406" s="4" t="n">
        <v>97.8998674</v>
      </c>
      <c r="O406" s="9" t="n">
        <f aca="false">$C$5-G406</f>
        <v>35</v>
      </c>
      <c r="P406" s="3" t="n">
        <f aca="false">H406/O406</f>
        <v>239.168571428571</v>
      </c>
      <c r="Q406" s="2" t="str">
        <f aca="false">IF(G406&lt;2010,"Legacy (pre-2010)",IF(G406&lt;=2017,"Established (2010-2017)","Emerging (2018+)"))</f>
        <v>Legacy (pre-2010)</v>
      </c>
    </row>
    <row r="407" customFormat="false" ht="15" hidden="false" customHeight="false" outlineLevel="0" collapsed="false">
      <c r="A407" s="2" t="s">
        <v>484</v>
      </c>
      <c r="B407" s="2" t="s">
        <v>15</v>
      </c>
      <c r="C407" s="2" t="s">
        <v>34</v>
      </c>
      <c r="D407" s="2" t="s">
        <v>17</v>
      </c>
      <c r="E407" s="2" t="s">
        <v>23</v>
      </c>
      <c r="F407" s="2" t="s">
        <v>19</v>
      </c>
      <c r="G407" s="2" t="n">
        <v>2003</v>
      </c>
      <c r="H407" s="3" t="n">
        <v>8366.3</v>
      </c>
      <c r="I407" s="3" t="n">
        <v>6159.1</v>
      </c>
      <c r="J407" s="3" t="n">
        <v>2210.1</v>
      </c>
      <c r="K407" s="3" t="n">
        <v>10.3</v>
      </c>
      <c r="L407" s="4" t="n">
        <v>0.1231129651</v>
      </c>
      <c r="M407" s="3" t="n">
        <v>8356</v>
      </c>
      <c r="N407" s="4" t="n">
        <v>99.87688703</v>
      </c>
      <c r="O407" s="9" t="n">
        <f aca="false">$C$5-G407</f>
        <v>23</v>
      </c>
      <c r="P407" s="3" t="n">
        <f aca="false">H407/O407</f>
        <v>363.752173913043</v>
      </c>
      <c r="Q407" s="2" t="str">
        <f aca="false">IF(G407&lt;2010,"Legacy (pre-2010)",IF(G407&lt;=2017,"Established (2010-2017)","Emerging (2018+)"))</f>
        <v>Legacy (pre-2010)</v>
      </c>
    </row>
    <row r="408" customFormat="false" ht="15" hidden="false" customHeight="false" outlineLevel="0" collapsed="false">
      <c r="A408" s="2" t="s">
        <v>485</v>
      </c>
      <c r="B408" s="2" t="s">
        <v>21</v>
      </c>
      <c r="C408" s="2" t="s">
        <v>22</v>
      </c>
      <c r="D408" s="2" t="s">
        <v>17</v>
      </c>
      <c r="E408" s="2" t="s">
        <v>23</v>
      </c>
      <c r="F408" s="2" t="s">
        <v>19</v>
      </c>
      <c r="G408" s="2" t="n">
        <v>2002</v>
      </c>
      <c r="H408" s="3" t="n">
        <v>8339.3</v>
      </c>
      <c r="I408" s="3" t="n">
        <v>7864.3</v>
      </c>
      <c r="J408" s="3" t="n">
        <v>477.4</v>
      </c>
      <c r="K408" s="3" t="n">
        <v>7297.4</v>
      </c>
      <c r="L408" s="4" t="n">
        <v>87.5061456</v>
      </c>
      <c r="M408" s="3" t="n">
        <v>1041.9</v>
      </c>
      <c r="N408" s="4" t="n">
        <v>12.4938544</v>
      </c>
      <c r="O408" s="9" t="n">
        <f aca="false">$C$5-G408</f>
        <v>24</v>
      </c>
      <c r="P408" s="3" t="n">
        <f aca="false">H408/O408</f>
        <v>347.470833333333</v>
      </c>
      <c r="Q408" s="2" t="str">
        <f aca="false">IF(G408&lt;2010,"Legacy (pre-2010)",IF(G408&lt;=2017,"Established (2010-2017)","Emerging (2018+)"))</f>
        <v>Legacy (pre-2010)</v>
      </c>
    </row>
    <row r="409" customFormat="false" ht="15" hidden="false" customHeight="false" outlineLevel="0" collapsed="false">
      <c r="A409" s="2" t="s">
        <v>486</v>
      </c>
      <c r="B409" s="2" t="s">
        <v>15</v>
      </c>
      <c r="C409" s="2" t="s">
        <v>22</v>
      </c>
      <c r="D409" s="2" t="s">
        <v>17</v>
      </c>
      <c r="E409" s="2" t="s">
        <v>52</v>
      </c>
      <c r="F409" s="2" t="s">
        <v>49</v>
      </c>
      <c r="G409" s="2" t="n">
        <v>1989</v>
      </c>
      <c r="H409" s="3" t="n">
        <v>8330.4</v>
      </c>
      <c r="I409" s="3" t="n">
        <v>8328.6</v>
      </c>
      <c r="J409" s="3" t="n">
        <v>5.6</v>
      </c>
      <c r="K409" s="3" t="n">
        <v>8188.5</v>
      </c>
      <c r="L409" s="4" t="n">
        <v>98.2966004</v>
      </c>
      <c r="M409" s="3" t="n">
        <v>141.9</v>
      </c>
      <c r="N409" s="4" t="n">
        <v>1.703399597</v>
      </c>
      <c r="O409" s="9" t="n">
        <f aca="false">$C$5-G409</f>
        <v>37</v>
      </c>
      <c r="P409" s="3" t="n">
        <f aca="false">H409/O409</f>
        <v>225.145945945946</v>
      </c>
      <c r="Q409" s="2" t="str">
        <f aca="false">IF(G409&lt;2010,"Legacy (pre-2010)",IF(G409&lt;=2017,"Established (2010-2017)","Emerging (2018+)"))</f>
        <v>Legacy (pre-2010)</v>
      </c>
    </row>
    <row r="410" customFormat="false" ht="15" hidden="false" customHeight="false" outlineLevel="0" collapsed="false">
      <c r="A410" s="2" t="s">
        <v>487</v>
      </c>
      <c r="B410" s="2" t="s">
        <v>15</v>
      </c>
      <c r="C410" s="2" t="s">
        <v>129</v>
      </c>
      <c r="D410" s="2" t="s">
        <v>130</v>
      </c>
      <c r="E410" s="2" t="s">
        <v>18</v>
      </c>
      <c r="F410" s="2" t="s">
        <v>19</v>
      </c>
      <c r="G410" s="2" t="n">
        <v>2006</v>
      </c>
      <c r="H410" s="3" t="n">
        <v>8326.7</v>
      </c>
      <c r="I410" s="3" t="n">
        <v>4696.4</v>
      </c>
      <c r="J410" s="3" t="n">
        <v>3630.4</v>
      </c>
      <c r="K410" s="3" t="n">
        <v>1125.8</v>
      </c>
      <c r="L410" s="4" t="n">
        <v>13.52036221</v>
      </c>
      <c r="M410" s="3" t="n">
        <v>7200.9</v>
      </c>
      <c r="N410" s="4" t="n">
        <v>86.47963779</v>
      </c>
      <c r="O410" s="9" t="n">
        <f aca="false">$C$5-G410</f>
        <v>20</v>
      </c>
      <c r="P410" s="3" t="n">
        <f aca="false">H410/O410</f>
        <v>416.335</v>
      </c>
      <c r="Q410" s="2" t="str">
        <f aca="false">IF(G410&lt;2010,"Legacy (pre-2010)",IF(G410&lt;=2017,"Established (2010-2017)","Emerging (2018+)"))</f>
        <v>Legacy (pre-2010)</v>
      </c>
    </row>
    <row r="411" customFormat="false" ht="15" hidden="false" customHeight="false" outlineLevel="0" collapsed="false">
      <c r="A411" s="2" t="s">
        <v>488</v>
      </c>
      <c r="B411" s="2" t="s">
        <v>21</v>
      </c>
      <c r="C411" s="2" t="s">
        <v>129</v>
      </c>
      <c r="D411" s="2" t="s">
        <v>130</v>
      </c>
      <c r="E411" s="2" t="s">
        <v>489</v>
      </c>
      <c r="F411" s="2" t="s">
        <v>19</v>
      </c>
      <c r="G411" s="2" t="n">
        <v>1980</v>
      </c>
      <c r="H411" s="3" t="n">
        <v>8316.5</v>
      </c>
      <c r="I411" s="3" t="n">
        <v>8317.8</v>
      </c>
      <c r="J411" s="3" t="n">
        <v>0</v>
      </c>
      <c r="K411" s="3" t="n">
        <v>8289</v>
      </c>
      <c r="L411" s="4" t="n">
        <v>99.66933205</v>
      </c>
      <c r="M411" s="3" t="n">
        <v>27.5</v>
      </c>
      <c r="N411" s="4" t="n">
        <v>0.3306679493</v>
      </c>
      <c r="O411" s="9" t="n">
        <f aca="false">$C$5-G411</f>
        <v>46</v>
      </c>
      <c r="P411" s="3" t="n">
        <f aca="false">H411/O411</f>
        <v>180.79347826087</v>
      </c>
      <c r="Q411" s="2" t="str">
        <f aca="false">IF(G411&lt;2010,"Legacy (pre-2010)",IF(G411&lt;=2017,"Established (2010-2017)","Emerging (2018+)"))</f>
        <v>Legacy (pre-2010)</v>
      </c>
    </row>
    <row r="412" customFormat="false" ht="15" hidden="false" customHeight="false" outlineLevel="0" collapsed="false">
      <c r="A412" s="2" t="s">
        <v>490</v>
      </c>
      <c r="B412" s="2" t="s">
        <v>15</v>
      </c>
      <c r="C412" s="2" t="s">
        <v>223</v>
      </c>
      <c r="D412" s="2" t="s">
        <v>25</v>
      </c>
      <c r="E412" s="2" t="s">
        <v>18</v>
      </c>
      <c r="F412" s="2" t="s">
        <v>19</v>
      </c>
      <c r="G412" s="2" t="n">
        <v>2021</v>
      </c>
      <c r="H412" s="3" t="n">
        <v>8309.1</v>
      </c>
      <c r="I412" s="3" t="n">
        <v>5592</v>
      </c>
      <c r="J412" s="3" t="n">
        <v>2724.4</v>
      </c>
      <c r="K412" s="3" t="n">
        <v>3545.8</v>
      </c>
      <c r="L412" s="4" t="n">
        <v>42.67369511</v>
      </c>
      <c r="M412" s="3" t="n">
        <v>4763.3</v>
      </c>
      <c r="N412" s="4" t="n">
        <v>57.32630489</v>
      </c>
      <c r="O412" s="9" t="n">
        <f aca="false">$C$5-G412</f>
        <v>5</v>
      </c>
      <c r="P412" s="3" t="n">
        <f aca="false">H412/O412</f>
        <v>1661.82</v>
      </c>
      <c r="Q412" s="2" t="str">
        <f aca="false">IF(G412&lt;2010,"Legacy (pre-2010)",IF(G412&lt;=2017,"Established (2010-2017)","Emerging (2018+)"))</f>
        <v>Emerging (2018+)</v>
      </c>
    </row>
    <row r="413" customFormat="false" ht="15" hidden="false" customHeight="false" outlineLevel="0" collapsed="false">
      <c r="A413" s="2" t="s">
        <v>491</v>
      </c>
      <c r="B413" s="2" t="s">
        <v>15</v>
      </c>
      <c r="C413" s="2" t="s">
        <v>22</v>
      </c>
      <c r="D413" s="2" t="s">
        <v>25</v>
      </c>
      <c r="E413" s="2" t="s">
        <v>26</v>
      </c>
      <c r="F413" s="2" t="s">
        <v>19</v>
      </c>
      <c r="G413" s="2" t="n">
        <v>2019</v>
      </c>
      <c r="H413" s="3" t="n">
        <v>8282.3</v>
      </c>
      <c r="I413" s="3" t="n">
        <v>6707</v>
      </c>
      <c r="J413" s="3" t="n">
        <v>1607.4</v>
      </c>
      <c r="K413" s="3" t="n">
        <v>999.5</v>
      </c>
      <c r="L413" s="4" t="n">
        <v>12.06790384</v>
      </c>
      <c r="M413" s="3" t="n">
        <v>7282.8</v>
      </c>
      <c r="N413" s="4" t="n">
        <v>87.93209616</v>
      </c>
      <c r="O413" s="9" t="n">
        <f aca="false">$C$5-G413</f>
        <v>7</v>
      </c>
      <c r="P413" s="3" t="n">
        <f aca="false">H413/O413</f>
        <v>1183.18571428571</v>
      </c>
      <c r="Q413" s="2" t="str">
        <f aca="false">IF(G413&lt;2010,"Legacy (pre-2010)",IF(G413&lt;=2017,"Established (2010-2017)","Emerging (2018+)"))</f>
        <v>Emerging (2018+)</v>
      </c>
    </row>
    <row r="414" customFormat="false" ht="15" hidden="false" customHeight="false" outlineLevel="0" collapsed="false">
      <c r="A414" s="2" t="s">
        <v>492</v>
      </c>
      <c r="B414" s="2" t="s">
        <v>15</v>
      </c>
      <c r="C414" s="2" t="s">
        <v>129</v>
      </c>
      <c r="D414" s="2" t="s">
        <v>17</v>
      </c>
      <c r="E414" s="2" t="s">
        <v>61</v>
      </c>
      <c r="F414" s="2" t="s">
        <v>19</v>
      </c>
      <c r="G414" s="2" t="n">
        <v>2013</v>
      </c>
      <c r="H414" s="3" t="n">
        <v>8278.7</v>
      </c>
      <c r="I414" s="3" t="n">
        <v>4898.7</v>
      </c>
      <c r="J414" s="3" t="n">
        <v>3389.6</v>
      </c>
      <c r="K414" s="3" t="n">
        <v>53.5</v>
      </c>
      <c r="L414" s="4" t="n">
        <v>0.646236728</v>
      </c>
      <c r="M414" s="3" t="n">
        <v>8225.2</v>
      </c>
      <c r="N414" s="4" t="n">
        <v>99.35376327</v>
      </c>
      <c r="O414" s="9" t="n">
        <f aca="false">$C$5-G414</f>
        <v>13</v>
      </c>
      <c r="P414" s="3" t="n">
        <f aca="false">H414/O414</f>
        <v>636.823076923077</v>
      </c>
      <c r="Q414" s="2" t="str">
        <f aca="false">IF(G414&lt;2010,"Legacy (pre-2010)",IF(G414&lt;=2017,"Established (2010-2017)","Emerging (2018+)"))</f>
        <v>Established (2010-2017)</v>
      </c>
    </row>
    <row r="415" customFormat="false" ht="15" hidden="false" customHeight="false" outlineLevel="0" collapsed="false">
      <c r="A415" s="2" t="s">
        <v>493</v>
      </c>
      <c r="B415" s="2" t="s">
        <v>15</v>
      </c>
      <c r="C415" s="2" t="s">
        <v>205</v>
      </c>
      <c r="D415" s="2" t="s">
        <v>17</v>
      </c>
      <c r="E415" s="2" t="s">
        <v>23</v>
      </c>
      <c r="F415" s="2" t="s">
        <v>19</v>
      </c>
      <c r="G415" s="2" t="n">
        <v>2010</v>
      </c>
      <c r="H415" s="3" t="n">
        <v>8263</v>
      </c>
      <c r="I415" s="3" t="n">
        <v>3585.1</v>
      </c>
      <c r="J415" s="3" t="n">
        <v>4693.6</v>
      </c>
      <c r="K415" s="3" t="n">
        <v>6241</v>
      </c>
      <c r="L415" s="4" t="n">
        <v>75.52946872</v>
      </c>
      <c r="M415" s="3" t="n">
        <v>2022</v>
      </c>
      <c r="N415" s="4" t="n">
        <v>24.47053128</v>
      </c>
      <c r="O415" s="9" t="n">
        <f aca="false">$C$5-G415</f>
        <v>16</v>
      </c>
      <c r="P415" s="3" t="n">
        <f aca="false">H415/O415</f>
        <v>516.4375</v>
      </c>
      <c r="Q415" s="2" t="str">
        <f aca="false">IF(G415&lt;2010,"Legacy (pre-2010)",IF(G415&lt;=2017,"Established (2010-2017)","Emerging (2018+)"))</f>
        <v>Established (2010-2017)</v>
      </c>
    </row>
    <row r="416" customFormat="false" ht="15" hidden="false" customHeight="false" outlineLevel="0" collapsed="false">
      <c r="A416" s="2" t="s">
        <v>494</v>
      </c>
      <c r="B416" s="2" t="s">
        <v>15</v>
      </c>
      <c r="C416" s="2" t="s">
        <v>22</v>
      </c>
      <c r="D416" s="2" t="s">
        <v>17</v>
      </c>
      <c r="E416" s="2" t="s">
        <v>18</v>
      </c>
      <c r="F416" s="2" t="s">
        <v>19</v>
      </c>
      <c r="G416" s="2" t="n">
        <v>2017</v>
      </c>
      <c r="H416" s="3" t="n">
        <v>8240.2</v>
      </c>
      <c r="I416" s="3" t="n">
        <v>6845.4</v>
      </c>
      <c r="J416" s="3" t="n">
        <v>1394.8</v>
      </c>
      <c r="K416" s="3" t="n">
        <v>2320.7</v>
      </c>
      <c r="L416" s="4" t="n">
        <v>28.16315138</v>
      </c>
      <c r="M416" s="3" t="n">
        <v>5919.5</v>
      </c>
      <c r="N416" s="4" t="n">
        <v>71.83684862</v>
      </c>
      <c r="O416" s="9" t="n">
        <f aca="false">$C$5-G416</f>
        <v>9</v>
      </c>
      <c r="P416" s="3" t="n">
        <f aca="false">H416/O416</f>
        <v>915.577777777778</v>
      </c>
      <c r="Q416" s="2" t="str">
        <f aca="false">IF(G416&lt;2010,"Legacy (pre-2010)",IF(G416&lt;=2017,"Established (2010-2017)","Emerging (2018+)"))</f>
        <v>Established (2010-2017)</v>
      </c>
    </row>
    <row r="417" customFormat="false" ht="15" hidden="false" customHeight="false" outlineLevel="0" collapsed="false">
      <c r="A417" s="2" t="s">
        <v>495</v>
      </c>
      <c r="B417" s="2" t="s">
        <v>15</v>
      </c>
      <c r="C417" s="2" t="s">
        <v>22</v>
      </c>
      <c r="D417" s="2" t="s">
        <v>17</v>
      </c>
      <c r="E417" s="2" t="s">
        <v>18</v>
      </c>
      <c r="F417" s="2" t="s">
        <v>19</v>
      </c>
      <c r="G417" s="2" t="n">
        <v>1992</v>
      </c>
      <c r="H417" s="3" t="n">
        <v>8235.9</v>
      </c>
      <c r="I417" s="3" t="n">
        <v>1236.7</v>
      </c>
      <c r="J417" s="3" t="n">
        <v>6999.2</v>
      </c>
      <c r="K417" s="3" t="n">
        <v>228.2</v>
      </c>
      <c r="L417" s="4" t="n">
        <v>2.770796149</v>
      </c>
      <c r="M417" s="3" t="n">
        <v>8007.7</v>
      </c>
      <c r="N417" s="4" t="n">
        <v>97.22920385</v>
      </c>
      <c r="O417" s="9" t="n">
        <f aca="false">$C$5-G417</f>
        <v>34</v>
      </c>
      <c r="P417" s="3" t="n">
        <f aca="false">H417/O417</f>
        <v>242.232352941176</v>
      </c>
      <c r="Q417" s="2" t="str">
        <f aca="false">IF(G417&lt;2010,"Legacy (pre-2010)",IF(G417&lt;=2017,"Established (2010-2017)","Emerging (2018+)"))</f>
        <v>Legacy (pre-2010)</v>
      </c>
    </row>
    <row r="418" customFormat="false" ht="15" hidden="false" customHeight="false" outlineLevel="0" collapsed="false">
      <c r="A418" s="2" t="s">
        <v>496</v>
      </c>
      <c r="B418" s="2" t="s">
        <v>15</v>
      </c>
      <c r="C418" s="2" t="s">
        <v>22</v>
      </c>
      <c r="D418" s="2" t="s">
        <v>25</v>
      </c>
      <c r="E418" s="2" t="s">
        <v>26</v>
      </c>
      <c r="F418" s="2" t="s">
        <v>19</v>
      </c>
      <c r="G418" s="2" t="n">
        <v>2014</v>
      </c>
      <c r="H418" s="3" t="n">
        <v>8216.5</v>
      </c>
      <c r="I418" s="3" t="n">
        <v>760.9</v>
      </c>
      <c r="J418" s="3" t="n">
        <v>7455.6</v>
      </c>
      <c r="K418" s="3" t="n">
        <v>196.8</v>
      </c>
      <c r="L418" s="4" t="n">
        <v>2.39518043</v>
      </c>
      <c r="M418" s="3" t="n">
        <v>8019.7</v>
      </c>
      <c r="N418" s="4" t="n">
        <v>97.60481957</v>
      </c>
      <c r="O418" s="9" t="n">
        <f aca="false">$C$5-G418</f>
        <v>12</v>
      </c>
      <c r="P418" s="3" t="n">
        <f aca="false">H418/O418</f>
        <v>684.708333333333</v>
      </c>
      <c r="Q418" s="2" t="str">
        <f aca="false">IF(G418&lt;2010,"Legacy (pre-2010)",IF(G418&lt;=2017,"Established (2010-2017)","Emerging (2018+)"))</f>
        <v>Established (2010-2017)</v>
      </c>
    </row>
    <row r="419" customFormat="false" ht="15" hidden="false" customHeight="false" outlineLevel="0" collapsed="false">
      <c r="A419" s="2" t="s">
        <v>497</v>
      </c>
      <c r="B419" s="2" t="s">
        <v>15</v>
      </c>
      <c r="C419" s="2" t="s">
        <v>90</v>
      </c>
      <c r="D419" s="2" t="s">
        <v>25</v>
      </c>
      <c r="E419" s="2" t="s">
        <v>91</v>
      </c>
      <c r="F419" s="2" t="s">
        <v>19</v>
      </c>
      <c r="G419" s="2" t="n">
        <v>1966</v>
      </c>
      <c r="H419" s="3" t="n">
        <v>8205.4</v>
      </c>
      <c r="I419" s="3" t="n">
        <v>8009</v>
      </c>
      <c r="J419" s="3" t="n">
        <v>204.5</v>
      </c>
      <c r="K419" s="3" t="n">
        <v>7878.1</v>
      </c>
      <c r="L419" s="4" t="n">
        <v>96.01116338</v>
      </c>
      <c r="M419" s="3" t="n">
        <v>327.3</v>
      </c>
      <c r="N419" s="4" t="n">
        <v>3.98883662</v>
      </c>
      <c r="O419" s="9" t="n">
        <f aca="false">$C$5-G419</f>
        <v>60</v>
      </c>
      <c r="P419" s="3" t="n">
        <f aca="false">H419/O419</f>
        <v>136.756666666667</v>
      </c>
      <c r="Q419" s="2" t="str">
        <f aca="false">IF(G419&lt;2010,"Legacy (pre-2010)",IF(G419&lt;=2017,"Established (2010-2017)","Emerging (2018+)"))</f>
        <v>Legacy (pre-2010)</v>
      </c>
    </row>
    <row r="420" customFormat="false" ht="15" hidden="false" customHeight="false" outlineLevel="0" collapsed="false">
      <c r="A420" s="2" t="s">
        <v>498</v>
      </c>
      <c r="B420" s="2" t="s">
        <v>15</v>
      </c>
      <c r="C420" s="2" t="s">
        <v>16</v>
      </c>
      <c r="D420" s="2" t="s">
        <v>17</v>
      </c>
      <c r="E420" s="2" t="s">
        <v>52</v>
      </c>
      <c r="F420" s="2" t="s">
        <v>49</v>
      </c>
      <c r="G420" s="2" t="n">
        <v>2003</v>
      </c>
      <c r="H420" s="3" t="n">
        <v>8203</v>
      </c>
      <c r="I420" s="3" t="n">
        <v>7983.1</v>
      </c>
      <c r="J420" s="3" t="n">
        <v>224.9</v>
      </c>
      <c r="K420" s="3" t="n">
        <v>7947.8</v>
      </c>
      <c r="L420" s="4" t="n">
        <v>96.88894307</v>
      </c>
      <c r="M420" s="3" t="n">
        <v>255.2</v>
      </c>
      <c r="N420" s="4" t="n">
        <v>3.11105693</v>
      </c>
      <c r="O420" s="9" t="n">
        <f aca="false">$C$5-G420</f>
        <v>23</v>
      </c>
      <c r="P420" s="3" t="n">
        <f aca="false">H420/O420</f>
        <v>356.652173913044</v>
      </c>
      <c r="Q420" s="2" t="str">
        <f aca="false">IF(G420&lt;2010,"Legacy (pre-2010)",IF(G420&lt;=2017,"Established (2010-2017)","Emerging (2018+)"))</f>
        <v>Legacy (pre-2010)</v>
      </c>
    </row>
    <row r="421" customFormat="false" ht="15" hidden="false" customHeight="false" outlineLevel="0" collapsed="false">
      <c r="A421" s="2" t="s">
        <v>499</v>
      </c>
      <c r="B421" s="2" t="s">
        <v>79</v>
      </c>
      <c r="C421" s="2" t="s">
        <v>22</v>
      </c>
      <c r="D421" s="2" t="s">
        <v>17</v>
      </c>
      <c r="E421" s="2" t="s">
        <v>52</v>
      </c>
      <c r="F421" s="2" t="s">
        <v>49</v>
      </c>
      <c r="G421" s="2" t="n">
        <v>1973</v>
      </c>
      <c r="H421" s="3" t="n">
        <v>8200.1</v>
      </c>
      <c r="I421" s="3" t="n">
        <v>7224.1</v>
      </c>
      <c r="J421" s="3" t="n">
        <v>979.3</v>
      </c>
      <c r="K421" s="3" t="n">
        <v>7171.3</v>
      </c>
      <c r="L421" s="4" t="n">
        <v>87.45381154</v>
      </c>
      <c r="M421" s="3" t="n">
        <v>1028.8</v>
      </c>
      <c r="N421" s="4" t="n">
        <v>12.54618846</v>
      </c>
      <c r="O421" s="9" t="n">
        <f aca="false">$C$5-G421</f>
        <v>53</v>
      </c>
      <c r="P421" s="3" t="n">
        <f aca="false">H421/O421</f>
        <v>154.718867924528</v>
      </c>
      <c r="Q421" s="2" t="str">
        <f aca="false">IF(G421&lt;2010,"Legacy (pre-2010)",IF(G421&lt;=2017,"Established (2010-2017)","Emerging (2018+)"))</f>
        <v>Legacy (pre-2010)</v>
      </c>
    </row>
    <row r="422" customFormat="false" ht="15" hidden="false" customHeight="false" outlineLevel="0" collapsed="false">
      <c r="A422" s="2" t="s">
        <v>500</v>
      </c>
      <c r="B422" s="2" t="s">
        <v>15</v>
      </c>
      <c r="C422" s="2" t="s">
        <v>34</v>
      </c>
      <c r="D422" s="2" t="s">
        <v>17</v>
      </c>
      <c r="E422" s="2" t="s">
        <v>23</v>
      </c>
      <c r="F422" s="2" t="s">
        <v>49</v>
      </c>
      <c r="G422" s="2" t="n">
        <v>1963</v>
      </c>
      <c r="H422" s="3" t="n">
        <v>8197.2</v>
      </c>
      <c r="I422" s="3" t="n">
        <v>8080.4</v>
      </c>
      <c r="J422" s="3" t="n">
        <v>120.7</v>
      </c>
      <c r="K422" s="3" t="n">
        <v>7892.6</v>
      </c>
      <c r="L422" s="4" t="n">
        <v>96.28409701</v>
      </c>
      <c r="M422" s="3" t="n">
        <v>304.6</v>
      </c>
      <c r="N422" s="4" t="n">
        <v>3.715902991</v>
      </c>
      <c r="O422" s="9" t="n">
        <f aca="false">$C$5-G422</f>
        <v>63</v>
      </c>
      <c r="P422" s="3" t="n">
        <f aca="false">H422/O422</f>
        <v>130.114285714286</v>
      </c>
      <c r="Q422" s="2" t="str">
        <f aca="false">IF(G422&lt;2010,"Legacy (pre-2010)",IF(G422&lt;=2017,"Established (2010-2017)","Emerging (2018+)"))</f>
        <v>Legacy (pre-2010)</v>
      </c>
    </row>
    <row r="423" customFormat="false" ht="15" hidden="false" customHeight="false" outlineLevel="0" collapsed="false">
      <c r="A423" s="2" t="s">
        <v>501</v>
      </c>
      <c r="B423" s="2" t="s">
        <v>15</v>
      </c>
      <c r="C423" s="2" t="s">
        <v>502</v>
      </c>
      <c r="D423" s="2" t="s">
        <v>73</v>
      </c>
      <c r="E423" s="2" t="s">
        <v>74</v>
      </c>
      <c r="F423" s="2" t="s">
        <v>19</v>
      </c>
      <c r="G423" s="2" t="n">
        <v>1980</v>
      </c>
      <c r="H423" s="3" t="n">
        <v>8186.9</v>
      </c>
      <c r="I423" s="3" t="n">
        <v>3408.5</v>
      </c>
      <c r="J423" s="3" t="n">
        <v>4789.5</v>
      </c>
      <c r="K423" s="3" t="n">
        <v>515.9</v>
      </c>
      <c r="L423" s="4" t="n">
        <v>6.301530494</v>
      </c>
      <c r="M423" s="3" t="n">
        <v>7671</v>
      </c>
      <c r="N423" s="4" t="n">
        <v>93.69846951</v>
      </c>
      <c r="O423" s="9" t="n">
        <f aca="false">$C$5-G423</f>
        <v>46</v>
      </c>
      <c r="P423" s="3" t="n">
        <f aca="false">H423/O423</f>
        <v>177.976086956522</v>
      </c>
      <c r="Q423" s="2" t="str">
        <f aca="false">IF(G423&lt;2010,"Legacy (pre-2010)",IF(G423&lt;=2017,"Established (2010-2017)","Emerging (2018+)"))</f>
        <v>Legacy (pre-2010)</v>
      </c>
    </row>
    <row r="424" customFormat="false" ht="15" hidden="false" customHeight="false" outlineLevel="0" collapsed="false">
      <c r="A424" s="2" t="s">
        <v>503</v>
      </c>
      <c r="B424" s="2" t="s">
        <v>15</v>
      </c>
      <c r="C424" s="2" t="s">
        <v>43</v>
      </c>
      <c r="D424" s="2" t="s">
        <v>25</v>
      </c>
      <c r="E424" s="2" t="s">
        <v>83</v>
      </c>
      <c r="F424" s="2" t="s">
        <v>49</v>
      </c>
      <c r="G424" s="2" t="n">
        <v>2012</v>
      </c>
      <c r="H424" s="3" t="n">
        <v>8164.9</v>
      </c>
      <c r="I424" s="3" t="n">
        <v>7391.5</v>
      </c>
      <c r="J424" s="3" t="n">
        <v>775.8</v>
      </c>
      <c r="K424" s="3" t="n">
        <v>1621.1</v>
      </c>
      <c r="L424" s="4" t="n">
        <v>19.85449914</v>
      </c>
      <c r="M424" s="3" t="n">
        <v>6543.8</v>
      </c>
      <c r="N424" s="4" t="n">
        <v>80.14550086</v>
      </c>
      <c r="O424" s="9" t="n">
        <f aca="false">$C$5-G424</f>
        <v>14</v>
      </c>
      <c r="P424" s="3" t="n">
        <f aca="false">H424/O424</f>
        <v>583.207142857143</v>
      </c>
      <c r="Q424" s="2" t="str">
        <f aca="false">IF(G424&lt;2010,"Legacy (pre-2010)",IF(G424&lt;=2017,"Established (2010-2017)","Emerging (2018+)"))</f>
        <v>Established (2010-2017)</v>
      </c>
    </row>
    <row r="425" customFormat="false" ht="15" hidden="false" customHeight="false" outlineLevel="0" collapsed="false">
      <c r="A425" s="2" t="s">
        <v>504</v>
      </c>
      <c r="B425" s="2" t="s">
        <v>15</v>
      </c>
      <c r="C425" s="2" t="s">
        <v>22</v>
      </c>
      <c r="D425" s="2" t="s">
        <v>17</v>
      </c>
      <c r="E425" s="2" t="s">
        <v>18</v>
      </c>
      <c r="F425" s="2" t="s">
        <v>19</v>
      </c>
      <c r="G425" s="2" t="n">
        <v>2015</v>
      </c>
      <c r="H425" s="3" t="n">
        <v>8148</v>
      </c>
      <c r="I425" s="3" t="n">
        <v>7808</v>
      </c>
      <c r="J425" s="3" t="n">
        <v>340</v>
      </c>
      <c r="K425" s="3" t="n">
        <v>6616.8</v>
      </c>
      <c r="L425" s="4" t="n">
        <v>81.20765832</v>
      </c>
      <c r="M425" s="3" t="n">
        <v>1531.2</v>
      </c>
      <c r="N425" s="4" t="n">
        <v>18.79234168</v>
      </c>
      <c r="O425" s="9" t="n">
        <f aca="false">$C$5-G425</f>
        <v>11</v>
      </c>
      <c r="P425" s="3" t="n">
        <f aca="false">H425/O425</f>
        <v>740.727272727273</v>
      </c>
      <c r="Q425" s="2" t="str">
        <f aca="false">IF(G425&lt;2010,"Legacy (pre-2010)",IF(G425&lt;=2017,"Established (2010-2017)","Emerging (2018+)"))</f>
        <v>Established (2010-2017)</v>
      </c>
    </row>
    <row r="426" customFormat="false" ht="15" hidden="false" customHeight="false" outlineLevel="0" collapsed="false">
      <c r="A426" s="2" t="s">
        <v>505</v>
      </c>
      <c r="B426" s="2" t="s">
        <v>15</v>
      </c>
      <c r="C426" s="2" t="s">
        <v>95</v>
      </c>
      <c r="D426" s="2" t="s">
        <v>17</v>
      </c>
      <c r="E426" s="2" t="s">
        <v>273</v>
      </c>
      <c r="F426" s="2" t="s">
        <v>19</v>
      </c>
      <c r="G426" s="2" t="n">
        <v>2013</v>
      </c>
      <c r="H426" s="3" t="n">
        <v>8092.2</v>
      </c>
      <c r="I426" s="3" t="n">
        <v>7918.7</v>
      </c>
      <c r="J426" s="3" t="n">
        <v>176.9</v>
      </c>
      <c r="K426" s="3" t="n">
        <v>7804.3</v>
      </c>
      <c r="L426" s="4" t="n">
        <v>96.44225303</v>
      </c>
      <c r="M426" s="3" t="n">
        <v>287.9</v>
      </c>
      <c r="N426" s="4" t="n">
        <v>3.557746966</v>
      </c>
      <c r="O426" s="9" t="n">
        <f aca="false">$C$5-G426</f>
        <v>13</v>
      </c>
      <c r="P426" s="3" t="n">
        <f aca="false">H426/O426</f>
        <v>622.476923076923</v>
      </c>
      <c r="Q426" s="2" t="str">
        <f aca="false">IF(G426&lt;2010,"Legacy (pre-2010)",IF(G426&lt;=2017,"Established (2010-2017)","Emerging (2018+)"))</f>
        <v>Established (2010-2017)</v>
      </c>
    </row>
    <row r="427" customFormat="false" ht="15" hidden="false" customHeight="false" outlineLevel="0" collapsed="false">
      <c r="A427" s="2" t="s">
        <v>506</v>
      </c>
      <c r="B427" s="2" t="s">
        <v>15</v>
      </c>
      <c r="C427" s="2" t="s">
        <v>22</v>
      </c>
      <c r="D427" s="2" t="s">
        <v>17</v>
      </c>
      <c r="E427" s="2" t="s">
        <v>273</v>
      </c>
      <c r="F427" s="2" t="s">
        <v>19</v>
      </c>
      <c r="G427" s="2" t="n">
        <v>2007</v>
      </c>
      <c r="H427" s="3" t="n">
        <v>8065.4</v>
      </c>
      <c r="I427" s="3" t="n">
        <v>7161.8</v>
      </c>
      <c r="J427" s="3" t="n">
        <v>905.7</v>
      </c>
      <c r="K427" s="3" t="n">
        <v>4817</v>
      </c>
      <c r="L427" s="4" t="n">
        <v>59.72425422</v>
      </c>
      <c r="M427" s="3" t="n">
        <v>3248.4</v>
      </c>
      <c r="N427" s="4" t="n">
        <v>40.27574578</v>
      </c>
      <c r="O427" s="9" t="n">
        <f aca="false">$C$5-G427</f>
        <v>19</v>
      </c>
      <c r="P427" s="3" t="n">
        <f aca="false">H427/O427</f>
        <v>424.494736842105</v>
      </c>
      <c r="Q427" s="2" t="str">
        <f aca="false">IF(G427&lt;2010,"Legacy (pre-2010)",IF(G427&lt;=2017,"Established (2010-2017)","Emerging (2018+)"))</f>
        <v>Legacy (pre-2010)</v>
      </c>
    </row>
    <row r="428" customFormat="false" ht="15" hidden="false" customHeight="false" outlineLevel="0" collapsed="false">
      <c r="A428" s="2" t="s">
        <v>507</v>
      </c>
      <c r="B428" s="2" t="s">
        <v>15</v>
      </c>
      <c r="C428" s="2" t="s">
        <v>22</v>
      </c>
      <c r="D428" s="2" t="s">
        <v>25</v>
      </c>
      <c r="E428" s="2" t="s">
        <v>91</v>
      </c>
      <c r="F428" s="2" t="s">
        <v>49</v>
      </c>
      <c r="G428" s="2" t="n">
        <v>2020</v>
      </c>
      <c r="H428" s="3" t="n">
        <v>8063.4</v>
      </c>
      <c r="I428" s="3" t="n">
        <v>5540.4</v>
      </c>
      <c r="J428" s="3" t="n">
        <v>2525</v>
      </c>
      <c r="K428" s="3" t="n">
        <v>3610.3</v>
      </c>
      <c r="L428" s="4" t="n">
        <v>44.77391671</v>
      </c>
      <c r="M428" s="3" t="n">
        <v>4453.1</v>
      </c>
      <c r="N428" s="4" t="n">
        <v>55.22608329</v>
      </c>
      <c r="O428" s="9" t="n">
        <f aca="false">$C$5-G428</f>
        <v>6</v>
      </c>
      <c r="P428" s="3" t="n">
        <f aca="false">H428/O428</f>
        <v>1343.9</v>
      </c>
      <c r="Q428" s="2" t="str">
        <f aca="false">IF(G428&lt;2010,"Legacy (pre-2010)",IF(G428&lt;=2017,"Established (2010-2017)","Emerging (2018+)"))</f>
        <v>Emerging (2018+)</v>
      </c>
    </row>
    <row r="429" customFormat="false" ht="15" hidden="false" customHeight="false" outlineLevel="0" collapsed="false">
      <c r="A429" s="2" t="s">
        <v>508</v>
      </c>
      <c r="B429" s="2" t="s">
        <v>21</v>
      </c>
      <c r="C429" s="2" t="s">
        <v>46</v>
      </c>
      <c r="D429" s="2" t="s">
        <v>47</v>
      </c>
      <c r="E429" s="2" t="s">
        <v>48</v>
      </c>
      <c r="F429" s="2" t="s">
        <v>19</v>
      </c>
      <c r="G429" s="2" t="n">
        <v>2016</v>
      </c>
      <c r="H429" s="3" t="n">
        <v>8056.8</v>
      </c>
      <c r="I429" s="3" t="n">
        <v>4415.6</v>
      </c>
      <c r="J429" s="3" t="n">
        <v>3648.3</v>
      </c>
      <c r="K429" s="3" t="n">
        <v>3447</v>
      </c>
      <c r="L429" s="4" t="n">
        <v>42.78373548</v>
      </c>
      <c r="M429" s="3" t="n">
        <v>4609.8</v>
      </c>
      <c r="N429" s="4" t="n">
        <v>57.21626452</v>
      </c>
      <c r="O429" s="9" t="n">
        <f aca="false">$C$5-G429</f>
        <v>10</v>
      </c>
      <c r="P429" s="3" t="n">
        <f aca="false">H429/O429</f>
        <v>805.68</v>
      </c>
      <c r="Q429" s="2" t="str">
        <f aca="false">IF(G429&lt;2010,"Legacy (pre-2010)",IF(G429&lt;=2017,"Established (2010-2017)","Emerging (2018+)"))</f>
        <v>Established (2010-2017)</v>
      </c>
    </row>
    <row r="430" customFormat="false" ht="15" hidden="false" customHeight="false" outlineLevel="0" collapsed="false">
      <c r="A430" s="2" t="s">
        <v>509</v>
      </c>
      <c r="B430" s="2" t="s">
        <v>15</v>
      </c>
      <c r="C430" s="2" t="s">
        <v>22</v>
      </c>
      <c r="D430" s="2" t="s">
        <v>17</v>
      </c>
      <c r="E430" s="2" t="s">
        <v>18</v>
      </c>
      <c r="F430" s="2" t="s">
        <v>19</v>
      </c>
      <c r="G430" s="2" t="n">
        <v>2011</v>
      </c>
      <c r="H430" s="3" t="n">
        <v>8043.6</v>
      </c>
      <c r="I430" s="3" t="n">
        <v>7678.7</v>
      </c>
      <c r="J430" s="3" t="n">
        <v>364.9</v>
      </c>
      <c r="K430" s="3" t="n">
        <v>6527.6</v>
      </c>
      <c r="L430" s="4" t="n">
        <v>81.15271769</v>
      </c>
      <c r="M430" s="3" t="n">
        <v>1516</v>
      </c>
      <c r="N430" s="4" t="n">
        <v>18.84728231</v>
      </c>
      <c r="O430" s="9" t="n">
        <f aca="false">$C$5-G430</f>
        <v>15</v>
      </c>
      <c r="P430" s="3" t="n">
        <f aca="false">H430/O430</f>
        <v>536.24</v>
      </c>
      <c r="Q430" s="2" t="str">
        <f aca="false">IF(G430&lt;2010,"Legacy (pre-2010)",IF(G430&lt;=2017,"Established (2010-2017)","Emerging (2018+)"))</f>
        <v>Established (2010-2017)</v>
      </c>
    </row>
    <row r="431" customFormat="false" ht="15" hidden="false" customHeight="false" outlineLevel="0" collapsed="false">
      <c r="A431" s="2" t="s">
        <v>510</v>
      </c>
      <c r="B431" s="2" t="s">
        <v>15</v>
      </c>
      <c r="C431" s="2" t="s">
        <v>22</v>
      </c>
      <c r="D431" s="2" t="s">
        <v>17</v>
      </c>
      <c r="E431" s="2" t="s">
        <v>18</v>
      </c>
      <c r="F431" s="2" t="s">
        <v>49</v>
      </c>
      <c r="G431" s="2" t="n">
        <v>2013</v>
      </c>
      <c r="H431" s="3" t="n">
        <v>8030.3</v>
      </c>
      <c r="I431" s="3" t="n">
        <v>7270.4</v>
      </c>
      <c r="J431" s="3" t="n">
        <v>754.2</v>
      </c>
      <c r="K431" s="3" t="n">
        <v>4098.4</v>
      </c>
      <c r="L431" s="4" t="n">
        <v>51.0366985</v>
      </c>
      <c r="M431" s="3" t="n">
        <v>3931.9</v>
      </c>
      <c r="N431" s="4" t="n">
        <v>48.9633015</v>
      </c>
      <c r="O431" s="9" t="n">
        <f aca="false">$C$5-G431</f>
        <v>13</v>
      </c>
      <c r="P431" s="3" t="n">
        <f aca="false">H431/O431</f>
        <v>617.715384615385</v>
      </c>
      <c r="Q431" s="2" t="str">
        <f aca="false">IF(G431&lt;2010,"Legacy (pre-2010)",IF(G431&lt;=2017,"Established (2010-2017)","Emerging (2018+)"))</f>
        <v>Established (2010-2017)</v>
      </c>
    </row>
    <row r="432" customFormat="false" ht="15" hidden="false" customHeight="false" outlineLevel="0" collapsed="false">
      <c r="A432" s="2" t="s">
        <v>511</v>
      </c>
      <c r="B432" s="2" t="s">
        <v>21</v>
      </c>
      <c r="C432" s="2" t="s">
        <v>34</v>
      </c>
      <c r="D432" s="2" t="s">
        <v>17</v>
      </c>
      <c r="E432" s="2" t="s">
        <v>23</v>
      </c>
      <c r="F432" s="2" t="s">
        <v>19</v>
      </c>
      <c r="G432" s="2" t="n">
        <v>2014</v>
      </c>
      <c r="H432" s="3" t="n">
        <v>8019.9</v>
      </c>
      <c r="I432" s="3" t="n">
        <v>3097.3</v>
      </c>
      <c r="J432" s="3" t="n">
        <v>4922.6</v>
      </c>
      <c r="K432" s="3" t="n">
        <v>2755.3</v>
      </c>
      <c r="L432" s="4" t="n">
        <v>34.35578997</v>
      </c>
      <c r="M432" s="3" t="n">
        <v>5264.6</v>
      </c>
      <c r="N432" s="4" t="n">
        <v>65.64421003</v>
      </c>
      <c r="O432" s="9" t="n">
        <f aca="false">$C$5-G432</f>
        <v>12</v>
      </c>
      <c r="P432" s="3" t="n">
        <f aca="false">H432/O432</f>
        <v>668.325</v>
      </c>
      <c r="Q432" s="2" t="str">
        <f aca="false">IF(G432&lt;2010,"Legacy (pre-2010)",IF(G432&lt;=2017,"Established (2010-2017)","Emerging (2018+)"))</f>
        <v>Established (2010-2017)</v>
      </c>
    </row>
    <row r="433" customFormat="false" ht="15" hidden="false" customHeight="false" outlineLevel="0" collapsed="false">
      <c r="A433" s="2" t="s">
        <v>512</v>
      </c>
      <c r="B433" s="2" t="s">
        <v>15</v>
      </c>
      <c r="C433" s="2" t="s">
        <v>34</v>
      </c>
      <c r="D433" s="2" t="s">
        <v>17</v>
      </c>
      <c r="E433" s="2" t="s">
        <v>52</v>
      </c>
      <c r="F433" s="2" t="s">
        <v>49</v>
      </c>
      <c r="G433" s="2" t="n">
        <v>1983</v>
      </c>
      <c r="H433" s="3" t="n">
        <v>8014.7</v>
      </c>
      <c r="I433" s="3" t="n">
        <v>8019.1</v>
      </c>
      <c r="J433" s="3" t="n">
        <v>0</v>
      </c>
      <c r="K433" s="3" t="n">
        <v>8014.7</v>
      </c>
      <c r="L433" s="4" t="n">
        <v>100</v>
      </c>
      <c r="M433" s="3" t="n">
        <v>0</v>
      </c>
      <c r="N433" s="4" t="n">
        <v>0</v>
      </c>
      <c r="O433" s="9" t="n">
        <f aca="false">$C$5-G433</f>
        <v>43</v>
      </c>
      <c r="P433" s="3" t="n">
        <f aca="false">H433/O433</f>
        <v>186.388372093023</v>
      </c>
      <c r="Q433" s="2" t="str">
        <f aca="false">IF(G433&lt;2010,"Legacy (pre-2010)",IF(G433&lt;=2017,"Established (2010-2017)","Emerging (2018+)"))</f>
        <v>Legacy (pre-2010)</v>
      </c>
    </row>
    <row r="434" customFormat="false" ht="15" hidden="false" customHeight="false" outlineLevel="0" collapsed="false">
      <c r="A434" s="2" t="s">
        <v>513</v>
      </c>
      <c r="B434" s="2" t="s">
        <v>15</v>
      </c>
      <c r="C434" s="2" t="s">
        <v>22</v>
      </c>
      <c r="D434" s="2" t="s">
        <v>17</v>
      </c>
      <c r="E434" s="2" t="s">
        <v>52</v>
      </c>
      <c r="F434" s="2" t="s">
        <v>49</v>
      </c>
      <c r="G434" s="2" t="n">
        <v>1972</v>
      </c>
      <c r="H434" s="3" t="n">
        <v>7987.3</v>
      </c>
      <c r="I434" s="3" t="n">
        <v>7990.9</v>
      </c>
      <c r="J434" s="3" t="n">
        <v>0</v>
      </c>
      <c r="K434" s="3" t="n">
        <v>7987.3</v>
      </c>
      <c r="L434" s="4" t="n">
        <v>100</v>
      </c>
      <c r="M434" s="3" t="n">
        <v>0</v>
      </c>
      <c r="N434" s="4" t="n">
        <v>0</v>
      </c>
      <c r="O434" s="9" t="n">
        <f aca="false">$C$5-G434</f>
        <v>54</v>
      </c>
      <c r="P434" s="3" t="n">
        <f aca="false">H434/O434</f>
        <v>147.912962962963</v>
      </c>
      <c r="Q434" s="2" t="str">
        <f aca="false">IF(G434&lt;2010,"Legacy (pre-2010)",IF(G434&lt;=2017,"Established (2010-2017)","Emerging (2018+)"))</f>
        <v>Legacy (pre-2010)</v>
      </c>
    </row>
    <row r="435" customFormat="false" ht="15" hidden="false" customHeight="false" outlineLevel="0" collapsed="false">
      <c r="A435" s="2" t="s">
        <v>514</v>
      </c>
      <c r="B435" s="2" t="s">
        <v>15</v>
      </c>
      <c r="C435" s="2" t="s">
        <v>34</v>
      </c>
      <c r="D435" s="2" t="s">
        <v>17</v>
      </c>
      <c r="E435" s="2" t="s">
        <v>52</v>
      </c>
      <c r="F435" s="2" t="s">
        <v>49</v>
      </c>
      <c r="G435" s="2" t="n">
        <v>1977</v>
      </c>
      <c r="H435" s="3" t="n">
        <v>7976.6</v>
      </c>
      <c r="I435" s="3" t="n">
        <v>7980.4</v>
      </c>
      <c r="J435" s="3" t="n">
        <v>0.6</v>
      </c>
      <c r="K435" s="3" t="n">
        <v>7960.2</v>
      </c>
      <c r="L435" s="4" t="n">
        <v>99.79439862</v>
      </c>
      <c r="M435" s="3" t="n">
        <v>16.4</v>
      </c>
      <c r="N435" s="4" t="n">
        <v>0.205601384</v>
      </c>
      <c r="O435" s="9" t="n">
        <f aca="false">$C$5-G435</f>
        <v>49</v>
      </c>
      <c r="P435" s="3" t="n">
        <f aca="false">H435/O435</f>
        <v>162.787755102041</v>
      </c>
      <c r="Q435" s="2" t="str">
        <f aca="false">IF(G435&lt;2010,"Legacy (pre-2010)",IF(G435&lt;=2017,"Established (2010-2017)","Emerging (2018+)"))</f>
        <v>Legacy (pre-2010)</v>
      </c>
    </row>
    <row r="436" customFormat="false" ht="15" hidden="false" customHeight="false" outlineLevel="0" collapsed="false">
      <c r="A436" s="2" t="s">
        <v>515</v>
      </c>
      <c r="B436" s="2" t="s">
        <v>15</v>
      </c>
      <c r="C436" s="2" t="s">
        <v>34</v>
      </c>
      <c r="D436" s="2" t="s">
        <v>17</v>
      </c>
      <c r="E436" s="2" t="s">
        <v>23</v>
      </c>
      <c r="F436" s="2" t="s">
        <v>19</v>
      </c>
      <c r="G436" s="2" t="n">
        <v>1981</v>
      </c>
      <c r="H436" s="3" t="n">
        <v>7940.4</v>
      </c>
      <c r="I436" s="3" t="n">
        <v>7942.6</v>
      </c>
      <c r="J436" s="3" t="n">
        <v>0</v>
      </c>
      <c r="K436" s="3" t="n">
        <v>7116.9</v>
      </c>
      <c r="L436" s="4" t="n">
        <v>89.62898595</v>
      </c>
      <c r="M436" s="3" t="n">
        <v>823.5</v>
      </c>
      <c r="N436" s="4" t="n">
        <v>10.37101405</v>
      </c>
      <c r="O436" s="9" t="n">
        <f aca="false">$C$5-G436</f>
        <v>45</v>
      </c>
      <c r="P436" s="3" t="n">
        <f aca="false">H436/O436</f>
        <v>176.453333333333</v>
      </c>
      <c r="Q436" s="2" t="str">
        <f aca="false">IF(G436&lt;2010,"Legacy (pre-2010)",IF(G436&lt;=2017,"Established (2010-2017)","Emerging (2018+)"))</f>
        <v>Legacy (pre-2010)</v>
      </c>
    </row>
    <row r="437" customFormat="false" ht="15" hidden="false" customHeight="false" outlineLevel="0" collapsed="false">
      <c r="A437" s="2" t="s">
        <v>516</v>
      </c>
      <c r="B437" s="2" t="s">
        <v>15</v>
      </c>
      <c r="C437" s="2" t="s">
        <v>22</v>
      </c>
      <c r="D437" s="2" t="s">
        <v>17</v>
      </c>
      <c r="E437" s="2" t="s">
        <v>52</v>
      </c>
      <c r="F437" s="2" t="s">
        <v>49</v>
      </c>
      <c r="G437" s="2" t="n">
        <v>2001</v>
      </c>
      <c r="H437" s="3" t="n">
        <v>7934.8</v>
      </c>
      <c r="I437" s="3" t="n">
        <v>4641.5</v>
      </c>
      <c r="J437" s="3" t="n">
        <v>3299.4</v>
      </c>
      <c r="K437" s="3" t="n">
        <v>7901.6</v>
      </c>
      <c r="L437" s="4" t="n">
        <v>99.58158996</v>
      </c>
      <c r="M437" s="3" t="n">
        <v>33.2</v>
      </c>
      <c r="N437" s="4" t="n">
        <v>0.4184100418</v>
      </c>
      <c r="O437" s="9" t="n">
        <f aca="false">$C$5-G437</f>
        <v>25</v>
      </c>
      <c r="P437" s="3" t="n">
        <f aca="false">H437/O437</f>
        <v>317.392</v>
      </c>
      <c r="Q437" s="2" t="str">
        <f aca="false">IF(G437&lt;2010,"Legacy (pre-2010)",IF(G437&lt;=2017,"Established (2010-2017)","Emerging (2018+)"))</f>
        <v>Legacy (pre-2010)</v>
      </c>
    </row>
    <row r="438" customFormat="false" ht="15" hidden="false" customHeight="false" outlineLevel="0" collapsed="false">
      <c r="A438" s="2" t="s">
        <v>517</v>
      </c>
      <c r="B438" s="2" t="s">
        <v>15</v>
      </c>
      <c r="C438" s="2" t="s">
        <v>518</v>
      </c>
      <c r="D438" s="2" t="s">
        <v>519</v>
      </c>
      <c r="E438" s="2" t="s">
        <v>23</v>
      </c>
      <c r="F438" s="2" t="s">
        <v>19</v>
      </c>
      <c r="G438" s="2" t="n">
        <v>2002</v>
      </c>
      <c r="H438" s="3" t="n">
        <v>7934.5</v>
      </c>
      <c r="I438" s="3" t="n">
        <v>2022.8</v>
      </c>
      <c r="J438" s="3" t="n">
        <v>5906</v>
      </c>
      <c r="K438" s="3" t="n">
        <v>723</v>
      </c>
      <c r="L438" s="4" t="n">
        <v>9.112105363</v>
      </c>
      <c r="M438" s="3" t="n">
        <v>7211.5</v>
      </c>
      <c r="N438" s="4" t="n">
        <v>90.88789464</v>
      </c>
      <c r="O438" s="9" t="n">
        <f aca="false">$C$5-G438</f>
        <v>24</v>
      </c>
      <c r="P438" s="3" t="n">
        <f aca="false">H438/O438</f>
        <v>330.604166666667</v>
      </c>
      <c r="Q438" s="2" t="str">
        <f aca="false">IF(G438&lt;2010,"Legacy (pre-2010)",IF(G438&lt;=2017,"Established (2010-2017)","Emerging (2018+)"))</f>
        <v>Legacy (pre-2010)</v>
      </c>
    </row>
    <row r="439" customFormat="false" ht="15" hidden="false" customHeight="false" outlineLevel="0" collapsed="false">
      <c r="A439" s="2" t="s">
        <v>520</v>
      </c>
      <c r="B439" s="2" t="s">
        <v>15</v>
      </c>
      <c r="C439" s="2" t="s">
        <v>43</v>
      </c>
      <c r="D439" s="2" t="s">
        <v>25</v>
      </c>
      <c r="E439" s="2" t="s">
        <v>26</v>
      </c>
      <c r="F439" s="2" t="s">
        <v>19</v>
      </c>
      <c r="G439" s="2" t="n">
        <v>2016</v>
      </c>
      <c r="H439" s="3" t="n">
        <v>7921.6</v>
      </c>
      <c r="I439" s="3" t="n">
        <v>7400.3</v>
      </c>
      <c r="J439" s="3" t="n">
        <v>508.4</v>
      </c>
      <c r="K439" s="3" t="n">
        <v>7.5</v>
      </c>
      <c r="L439" s="4" t="n">
        <v>0.09467784286</v>
      </c>
      <c r="M439" s="3" t="n">
        <v>7914.1</v>
      </c>
      <c r="N439" s="4" t="n">
        <v>99.90532216</v>
      </c>
      <c r="O439" s="9" t="n">
        <f aca="false">$C$5-G439</f>
        <v>10</v>
      </c>
      <c r="P439" s="3" t="n">
        <f aca="false">H439/O439</f>
        <v>792.16</v>
      </c>
      <c r="Q439" s="2" t="str">
        <f aca="false">IF(G439&lt;2010,"Legacy (pre-2010)",IF(G439&lt;=2017,"Established (2010-2017)","Emerging (2018+)"))</f>
        <v>Established (2010-2017)</v>
      </c>
    </row>
    <row r="440" customFormat="false" ht="15" hidden="false" customHeight="false" outlineLevel="0" collapsed="false">
      <c r="A440" s="2" t="s">
        <v>521</v>
      </c>
      <c r="B440" s="2" t="s">
        <v>21</v>
      </c>
      <c r="C440" s="2" t="s">
        <v>34</v>
      </c>
      <c r="D440" s="2" t="s">
        <v>17</v>
      </c>
      <c r="E440" s="2" t="s">
        <v>456</v>
      </c>
      <c r="F440" s="2" t="s">
        <v>19</v>
      </c>
      <c r="G440" s="2" t="n">
        <v>2018</v>
      </c>
      <c r="H440" s="3" t="n">
        <v>7892.9</v>
      </c>
      <c r="I440" s="3" t="n">
        <v>7895.6</v>
      </c>
      <c r="J440" s="3" t="n">
        <v>0</v>
      </c>
      <c r="K440" s="3" t="n">
        <v>7164.5</v>
      </c>
      <c r="L440" s="4" t="n">
        <v>90.77145282</v>
      </c>
      <c r="M440" s="3" t="n">
        <v>728.4</v>
      </c>
      <c r="N440" s="4" t="n">
        <v>9.228547175</v>
      </c>
      <c r="O440" s="9" t="n">
        <f aca="false">$C$5-G440</f>
        <v>8</v>
      </c>
      <c r="P440" s="3" t="n">
        <f aca="false">H440/O440</f>
        <v>986.6125</v>
      </c>
      <c r="Q440" s="2" t="str">
        <f aca="false">IF(G440&lt;2010,"Legacy (pre-2010)",IF(G440&lt;=2017,"Established (2010-2017)","Emerging (2018+)"))</f>
        <v>Emerging (2018+)</v>
      </c>
    </row>
    <row r="441" customFormat="false" ht="15" hidden="false" customHeight="false" outlineLevel="0" collapsed="false">
      <c r="A441" s="2" t="s">
        <v>522</v>
      </c>
      <c r="B441" s="2" t="s">
        <v>15</v>
      </c>
      <c r="C441" s="2" t="s">
        <v>34</v>
      </c>
      <c r="D441" s="2" t="s">
        <v>17</v>
      </c>
      <c r="E441" s="2" t="s">
        <v>52</v>
      </c>
      <c r="F441" s="2" t="s">
        <v>49</v>
      </c>
      <c r="G441" s="2" t="n">
        <v>1978</v>
      </c>
      <c r="H441" s="3" t="n">
        <v>7891.3</v>
      </c>
      <c r="I441" s="3" t="n">
        <v>7595.8</v>
      </c>
      <c r="J441" s="3" t="n">
        <v>298.7</v>
      </c>
      <c r="K441" s="3" t="n">
        <v>7890.8</v>
      </c>
      <c r="L441" s="4" t="n">
        <v>99.99366391</v>
      </c>
      <c r="M441" s="3" t="n">
        <v>0.5</v>
      </c>
      <c r="N441" s="4" t="n">
        <v>0.006336091645</v>
      </c>
      <c r="O441" s="9" t="n">
        <f aca="false">$C$5-G441</f>
        <v>48</v>
      </c>
      <c r="P441" s="3" t="n">
        <f aca="false">H441/O441</f>
        <v>164.402083333333</v>
      </c>
      <c r="Q441" s="2" t="str">
        <f aca="false">IF(G441&lt;2010,"Legacy (pre-2010)",IF(G441&lt;=2017,"Established (2010-2017)","Emerging (2018+)"))</f>
        <v>Legacy (pre-2010)</v>
      </c>
    </row>
    <row r="442" customFormat="false" ht="15" hidden="false" customHeight="false" outlineLevel="0" collapsed="false">
      <c r="A442" s="2" t="s">
        <v>523</v>
      </c>
      <c r="B442" s="2" t="s">
        <v>21</v>
      </c>
      <c r="C442" s="2" t="s">
        <v>46</v>
      </c>
      <c r="D442" s="2" t="s">
        <v>47</v>
      </c>
      <c r="E442" s="2" t="s">
        <v>48</v>
      </c>
      <c r="F442" s="2" t="s">
        <v>49</v>
      </c>
      <c r="G442" s="2" t="n">
        <v>2022</v>
      </c>
      <c r="H442" s="3" t="n">
        <v>7886.9</v>
      </c>
      <c r="I442" s="3" t="n">
        <v>7880.6</v>
      </c>
      <c r="J442" s="3" t="n">
        <v>5.3</v>
      </c>
      <c r="K442" s="3" t="n">
        <v>7566</v>
      </c>
      <c r="L442" s="4" t="n">
        <v>95.93122773</v>
      </c>
      <c r="M442" s="3" t="n">
        <v>320.9</v>
      </c>
      <c r="N442" s="4" t="n">
        <v>4.068772268</v>
      </c>
      <c r="O442" s="9" t="n">
        <f aca="false">$C$5-G442</f>
        <v>4</v>
      </c>
      <c r="P442" s="3" t="n">
        <f aca="false">H442/O442</f>
        <v>1971.725</v>
      </c>
      <c r="Q442" s="2" t="str">
        <f aca="false">IF(G442&lt;2010,"Legacy (pre-2010)",IF(G442&lt;=2017,"Established (2010-2017)","Emerging (2018+)"))</f>
        <v>Emerging (2018+)</v>
      </c>
    </row>
    <row r="443" customFormat="false" ht="15" hidden="false" customHeight="false" outlineLevel="0" collapsed="false">
      <c r="A443" s="2" t="s">
        <v>524</v>
      </c>
      <c r="B443" s="2" t="s">
        <v>15</v>
      </c>
      <c r="C443" s="2" t="s">
        <v>22</v>
      </c>
      <c r="D443" s="2" t="s">
        <v>17</v>
      </c>
      <c r="E443" s="2" t="s">
        <v>292</v>
      </c>
      <c r="F443" s="2" t="s">
        <v>49</v>
      </c>
      <c r="G443" s="2" t="n">
        <v>2001</v>
      </c>
      <c r="H443" s="3" t="n">
        <v>7871.9</v>
      </c>
      <c r="I443" s="3" t="n">
        <v>7152</v>
      </c>
      <c r="J443" s="3" t="n">
        <v>706.6</v>
      </c>
      <c r="K443" s="3" t="n">
        <v>7858.1</v>
      </c>
      <c r="L443" s="4" t="n">
        <v>99.82469289</v>
      </c>
      <c r="M443" s="3" t="n">
        <v>13.8</v>
      </c>
      <c r="N443" s="4" t="n">
        <v>0.175307105</v>
      </c>
      <c r="O443" s="9" t="n">
        <f aca="false">$C$5-G443</f>
        <v>25</v>
      </c>
      <c r="P443" s="3" t="n">
        <f aca="false">H443/O443</f>
        <v>314.876</v>
      </c>
      <c r="Q443" s="2" t="str">
        <f aca="false">IF(G443&lt;2010,"Legacy (pre-2010)",IF(G443&lt;=2017,"Established (2010-2017)","Emerging (2018+)"))</f>
        <v>Legacy (pre-2010)</v>
      </c>
    </row>
    <row r="444" customFormat="false" ht="15" hidden="false" customHeight="false" outlineLevel="0" collapsed="false">
      <c r="A444" s="2" t="s">
        <v>525</v>
      </c>
      <c r="B444" s="2" t="s">
        <v>15</v>
      </c>
      <c r="C444" s="2" t="s">
        <v>526</v>
      </c>
      <c r="D444" s="2" t="s">
        <v>25</v>
      </c>
      <c r="E444" s="2" t="s">
        <v>83</v>
      </c>
      <c r="F444" s="2" t="s">
        <v>19</v>
      </c>
      <c r="G444" s="2" t="n">
        <v>1985</v>
      </c>
      <c r="H444" s="3" t="n">
        <v>7852.2</v>
      </c>
      <c r="I444" s="3" t="n">
        <v>7854.4</v>
      </c>
      <c r="J444" s="3" t="n">
        <v>4</v>
      </c>
      <c r="K444" s="3" t="n">
        <v>7062</v>
      </c>
      <c r="L444" s="4" t="n">
        <v>89.93657828</v>
      </c>
      <c r="M444" s="3" t="n">
        <v>790.2</v>
      </c>
      <c r="N444" s="4" t="n">
        <v>10.06342172</v>
      </c>
      <c r="O444" s="9" t="n">
        <f aca="false">$C$5-G444</f>
        <v>41</v>
      </c>
      <c r="P444" s="3" t="n">
        <f aca="false">H444/O444</f>
        <v>191.517073170732</v>
      </c>
      <c r="Q444" s="2" t="str">
        <f aca="false">IF(G444&lt;2010,"Legacy (pre-2010)",IF(G444&lt;=2017,"Established (2010-2017)","Emerging (2018+)"))</f>
        <v>Legacy (pre-2010)</v>
      </c>
    </row>
    <row r="445" customFormat="false" ht="15" hidden="false" customHeight="false" outlineLevel="0" collapsed="false">
      <c r="A445" s="2" t="s">
        <v>527</v>
      </c>
      <c r="B445" s="2" t="s">
        <v>79</v>
      </c>
      <c r="C445" s="2" t="s">
        <v>90</v>
      </c>
      <c r="D445" s="2" t="s">
        <v>25</v>
      </c>
      <c r="E445" s="2" t="s">
        <v>83</v>
      </c>
      <c r="F445" s="2" t="s">
        <v>49</v>
      </c>
      <c r="G445" s="2" t="n">
        <v>1982</v>
      </c>
      <c r="H445" s="3" t="n">
        <v>7838.9</v>
      </c>
      <c r="I445" s="3" t="n">
        <v>7528</v>
      </c>
      <c r="J445" s="3" t="n">
        <v>310.9</v>
      </c>
      <c r="K445" s="3" t="n">
        <v>2829.8</v>
      </c>
      <c r="L445" s="4" t="n">
        <v>36.09945273</v>
      </c>
      <c r="M445" s="3" t="n">
        <v>5009.1</v>
      </c>
      <c r="N445" s="4" t="n">
        <v>63.90054727</v>
      </c>
      <c r="O445" s="9" t="n">
        <f aca="false">$C$5-G445</f>
        <v>44</v>
      </c>
      <c r="P445" s="3" t="n">
        <f aca="false">H445/O445</f>
        <v>178.156818181818</v>
      </c>
      <c r="Q445" s="2" t="str">
        <f aca="false">IF(G445&lt;2010,"Legacy (pre-2010)",IF(G445&lt;=2017,"Established (2010-2017)","Emerging (2018+)"))</f>
        <v>Legacy (pre-2010)</v>
      </c>
    </row>
    <row r="446" customFormat="false" ht="15" hidden="false" customHeight="false" outlineLevel="0" collapsed="false">
      <c r="A446" s="2" t="s">
        <v>528</v>
      </c>
      <c r="B446" s="2" t="s">
        <v>15</v>
      </c>
      <c r="C446" s="2" t="s">
        <v>34</v>
      </c>
      <c r="D446" s="2" t="s">
        <v>17</v>
      </c>
      <c r="E446" s="2" t="s">
        <v>23</v>
      </c>
      <c r="F446" s="2" t="s">
        <v>19</v>
      </c>
      <c r="G446" s="2" t="n">
        <v>2015</v>
      </c>
      <c r="H446" s="3" t="n">
        <v>7824.1</v>
      </c>
      <c r="I446" s="3" t="n">
        <v>6895.6</v>
      </c>
      <c r="J446" s="3" t="n">
        <v>928.5</v>
      </c>
      <c r="K446" s="3" t="n">
        <v>6188.5</v>
      </c>
      <c r="L446" s="4" t="n">
        <v>79.09535921</v>
      </c>
      <c r="M446" s="3" t="n">
        <v>1635.6</v>
      </c>
      <c r="N446" s="4" t="n">
        <v>20.90464079</v>
      </c>
      <c r="O446" s="9" t="n">
        <f aca="false">$C$5-G446</f>
        <v>11</v>
      </c>
      <c r="P446" s="3" t="n">
        <f aca="false">H446/O446</f>
        <v>711.281818181818</v>
      </c>
      <c r="Q446" s="2" t="str">
        <f aca="false">IF(G446&lt;2010,"Legacy (pre-2010)",IF(G446&lt;=2017,"Established (2010-2017)","Emerging (2018+)"))</f>
        <v>Established (2010-2017)</v>
      </c>
    </row>
    <row r="447" customFormat="false" ht="15" hidden="false" customHeight="false" outlineLevel="0" collapsed="false">
      <c r="A447" s="2" t="s">
        <v>529</v>
      </c>
      <c r="B447" s="2" t="s">
        <v>15</v>
      </c>
      <c r="C447" s="2" t="s">
        <v>22</v>
      </c>
      <c r="D447" s="2" t="s">
        <v>17</v>
      </c>
      <c r="E447" s="2" t="s">
        <v>18</v>
      </c>
      <c r="F447" s="2" t="s">
        <v>19</v>
      </c>
      <c r="G447" s="2" t="n">
        <v>2008</v>
      </c>
      <c r="H447" s="3" t="n">
        <v>7817.3</v>
      </c>
      <c r="I447" s="3" t="n">
        <v>4590.4</v>
      </c>
      <c r="J447" s="3" t="n">
        <v>3227</v>
      </c>
      <c r="K447" s="3" t="n">
        <v>1655.2</v>
      </c>
      <c r="L447" s="4" t="n">
        <v>21.17355097</v>
      </c>
      <c r="M447" s="3" t="n">
        <v>6162.1</v>
      </c>
      <c r="N447" s="4" t="n">
        <v>78.82644903</v>
      </c>
      <c r="O447" s="9" t="n">
        <f aca="false">$C$5-G447</f>
        <v>18</v>
      </c>
      <c r="P447" s="3" t="n">
        <f aca="false">H447/O447</f>
        <v>434.294444444445</v>
      </c>
      <c r="Q447" s="2" t="str">
        <f aca="false">IF(G447&lt;2010,"Legacy (pre-2010)",IF(G447&lt;=2017,"Established (2010-2017)","Emerging (2018+)"))</f>
        <v>Legacy (pre-2010)</v>
      </c>
    </row>
    <row r="448" customFormat="false" ht="15" hidden="false" customHeight="false" outlineLevel="0" collapsed="false">
      <c r="A448" s="2" t="s">
        <v>530</v>
      </c>
      <c r="B448" s="2" t="s">
        <v>15</v>
      </c>
      <c r="C448" s="2" t="s">
        <v>22</v>
      </c>
      <c r="D448" s="2" t="s">
        <v>17</v>
      </c>
      <c r="E448" s="2" t="s">
        <v>28</v>
      </c>
      <c r="F448" s="2" t="s">
        <v>19</v>
      </c>
      <c r="G448" s="2" t="n">
        <v>2016</v>
      </c>
      <c r="H448" s="3" t="n">
        <v>7810.5</v>
      </c>
      <c r="I448" s="3" t="n">
        <v>3575.2</v>
      </c>
      <c r="J448" s="3" t="n">
        <v>4235.2</v>
      </c>
      <c r="K448" s="3" t="n">
        <v>2342.1</v>
      </c>
      <c r="L448" s="4" t="n">
        <v>29.98655656</v>
      </c>
      <c r="M448" s="3" t="n">
        <v>5468.4</v>
      </c>
      <c r="N448" s="4" t="n">
        <v>70.01344344</v>
      </c>
      <c r="O448" s="9" t="n">
        <f aca="false">$C$5-G448</f>
        <v>10</v>
      </c>
      <c r="P448" s="3" t="n">
        <f aca="false">H448/O448</f>
        <v>781.05</v>
      </c>
      <c r="Q448" s="2" t="str">
        <f aca="false">IF(G448&lt;2010,"Legacy (pre-2010)",IF(G448&lt;=2017,"Established (2010-2017)","Emerging (2018+)"))</f>
        <v>Established (2010-2017)</v>
      </c>
    </row>
    <row r="449" customFormat="false" ht="15" hidden="false" customHeight="false" outlineLevel="0" collapsed="false">
      <c r="A449" s="2" t="s">
        <v>531</v>
      </c>
      <c r="B449" s="2" t="s">
        <v>15</v>
      </c>
      <c r="C449" s="2" t="s">
        <v>34</v>
      </c>
      <c r="D449" s="2" t="s">
        <v>17</v>
      </c>
      <c r="E449" s="2" t="s">
        <v>61</v>
      </c>
      <c r="F449" s="2" t="s">
        <v>49</v>
      </c>
      <c r="G449" s="2" t="n">
        <v>2010</v>
      </c>
      <c r="H449" s="3" t="n">
        <v>7787.8</v>
      </c>
      <c r="I449" s="3" t="n">
        <v>5988.8</v>
      </c>
      <c r="J449" s="3" t="n">
        <v>1801.6</v>
      </c>
      <c r="K449" s="3" t="n">
        <v>801</v>
      </c>
      <c r="L449" s="4" t="n">
        <v>10.28531806</v>
      </c>
      <c r="M449" s="3" t="n">
        <v>6986.8</v>
      </c>
      <c r="N449" s="4" t="n">
        <v>89.71468194</v>
      </c>
      <c r="O449" s="9" t="n">
        <f aca="false">$C$5-G449</f>
        <v>16</v>
      </c>
      <c r="P449" s="3" t="n">
        <f aca="false">H449/O449</f>
        <v>486.7375</v>
      </c>
      <c r="Q449" s="2" t="str">
        <f aca="false">IF(G449&lt;2010,"Legacy (pre-2010)",IF(G449&lt;=2017,"Established (2010-2017)","Emerging (2018+)"))</f>
        <v>Established (2010-2017)</v>
      </c>
    </row>
    <row r="450" customFormat="false" ht="15" hidden="false" customHeight="false" outlineLevel="0" collapsed="false">
      <c r="A450" s="2" t="s">
        <v>532</v>
      </c>
      <c r="B450" s="2" t="s">
        <v>15</v>
      </c>
      <c r="C450" s="2" t="s">
        <v>22</v>
      </c>
      <c r="D450" s="2" t="s">
        <v>25</v>
      </c>
      <c r="E450" s="2" t="s">
        <v>26</v>
      </c>
      <c r="F450" s="2" t="s">
        <v>19</v>
      </c>
      <c r="G450" s="2" t="n">
        <v>2014</v>
      </c>
      <c r="H450" s="3" t="n">
        <v>7785.3</v>
      </c>
      <c r="I450" s="3" t="n">
        <v>2720.2</v>
      </c>
      <c r="J450" s="3" t="n">
        <v>5065.1</v>
      </c>
      <c r="K450" s="3" t="n">
        <v>69.3</v>
      </c>
      <c r="L450" s="4" t="n">
        <v>0.8901391083</v>
      </c>
      <c r="M450" s="3" t="n">
        <v>7716</v>
      </c>
      <c r="N450" s="4" t="n">
        <v>99.10986089</v>
      </c>
      <c r="O450" s="9" t="n">
        <f aca="false">$C$5-G450</f>
        <v>12</v>
      </c>
      <c r="P450" s="3" t="n">
        <f aca="false">H450/O450</f>
        <v>648.775</v>
      </c>
      <c r="Q450" s="2" t="str">
        <f aca="false">IF(G450&lt;2010,"Legacy (pre-2010)",IF(G450&lt;=2017,"Established (2010-2017)","Emerging (2018+)"))</f>
        <v>Established (2010-2017)</v>
      </c>
    </row>
    <row r="451" customFormat="false" ht="15" hidden="false" customHeight="false" outlineLevel="0" collapsed="false">
      <c r="A451" s="2" t="s">
        <v>533</v>
      </c>
      <c r="B451" s="2" t="s">
        <v>15</v>
      </c>
      <c r="C451" s="2" t="s">
        <v>148</v>
      </c>
      <c r="D451" s="2" t="s">
        <v>17</v>
      </c>
      <c r="E451" s="2" t="s">
        <v>61</v>
      </c>
      <c r="F451" s="2" t="s">
        <v>19</v>
      </c>
      <c r="G451" s="2" t="n">
        <v>2010</v>
      </c>
      <c r="H451" s="3" t="n">
        <v>7765.7</v>
      </c>
      <c r="I451" s="3" t="n">
        <v>4434.2</v>
      </c>
      <c r="J451" s="3" t="n">
        <v>3331.5</v>
      </c>
      <c r="K451" s="3" t="n">
        <v>781.1</v>
      </c>
      <c r="L451" s="4" t="n">
        <v>10.05833344</v>
      </c>
      <c r="M451" s="3" t="n">
        <v>6984.6</v>
      </c>
      <c r="N451" s="4" t="n">
        <v>89.94166656</v>
      </c>
      <c r="O451" s="9" t="n">
        <f aca="false">$C$5-G451</f>
        <v>16</v>
      </c>
      <c r="P451" s="3" t="n">
        <f aca="false">H451/O451</f>
        <v>485.35625</v>
      </c>
      <c r="Q451" s="2" t="str">
        <f aca="false">IF(G451&lt;2010,"Legacy (pre-2010)",IF(G451&lt;=2017,"Established (2010-2017)","Emerging (2018+)"))</f>
        <v>Established (2010-2017)</v>
      </c>
    </row>
    <row r="452" customFormat="false" ht="15" hidden="false" customHeight="false" outlineLevel="0" collapsed="false">
      <c r="A452" s="2" t="s">
        <v>534</v>
      </c>
      <c r="B452" s="2" t="s">
        <v>15</v>
      </c>
      <c r="C452" s="2" t="s">
        <v>535</v>
      </c>
      <c r="D452" s="2" t="s">
        <v>130</v>
      </c>
      <c r="E452" s="2" t="s">
        <v>18</v>
      </c>
      <c r="F452" s="2" t="s">
        <v>19</v>
      </c>
      <c r="G452" s="2" t="n">
        <v>2006</v>
      </c>
      <c r="H452" s="3" t="n">
        <v>7738.2</v>
      </c>
      <c r="I452" s="3" t="n">
        <v>3470.6</v>
      </c>
      <c r="J452" s="3" t="n">
        <v>4267.7</v>
      </c>
      <c r="K452" s="3" t="n">
        <v>1580.4</v>
      </c>
      <c r="L452" s="4" t="n">
        <v>20.42335427</v>
      </c>
      <c r="M452" s="3" t="n">
        <v>6157.8</v>
      </c>
      <c r="N452" s="4" t="n">
        <v>79.57664573</v>
      </c>
      <c r="O452" s="9" t="n">
        <f aca="false">$C$5-G452</f>
        <v>20</v>
      </c>
      <c r="P452" s="3" t="n">
        <f aca="false">H452/O452</f>
        <v>386.91</v>
      </c>
      <c r="Q452" s="2" t="str">
        <f aca="false">IF(G452&lt;2010,"Legacy (pre-2010)",IF(G452&lt;=2017,"Established (2010-2017)","Emerging (2018+)"))</f>
        <v>Legacy (pre-2010)</v>
      </c>
    </row>
    <row r="453" customFormat="false" ht="15" hidden="false" customHeight="false" outlineLevel="0" collapsed="false">
      <c r="A453" s="2" t="s">
        <v>536</v>
      </c>
      <c r="B453" s="2" t="s">
        <v>15</v>
      </c>
      <c r="C453" s="2" t="s">
        <v>22</v>
      </c>
      <c r="D453" s="2" t="s">
        <v>17</v>
      </c>
      <c r="E453" s="2" t="s">
        <v>18</v>
      </c>
      <c r="F453" s="2" t="s">
        <v>19</v>
      </c>
      <c r="G453" s="2" t="n">
        <v>2000</v>
      </c>
      <c r="H453" s="3" t="n">
        <v>7729.6</v>
      </c>
      <c r="I453" s="3" t="n">
        <v>6445.6</v>
      </c>
      <c r="J453" s="3" t="n">
        <v>1287.7</v>
      </c>
      <c r="K453" s="3" t="n">
        <v>2355.3</v>
      </c>
      <c r="L453" s="4" t="n">
        <v>30.47117574</v>
      </c>
      <c r="M453" s="3" t="n">
        <v>5374.3</v>
      </c>
      <c r="N453" s="4" t="n">
        <v>69.52882426</v>
      </c>
      <c r="O453" s="9" t="n">
        <f aca="false">$C$5-G453</f>
        <v>26</v>
      </c>
      <c r="P453" s="3" t="n">
        <f aca="false">H453/O453</f>
        <v>297.292307692308</v>
      </c>
      <c r="Q453" s="2" t="str">
        <f aca="false">IF(G453&lt;2010,"Legacy (pre-2010)",IF(G453&lt;=2017,"Established (2010-2017)","Emerging (2018+)"))</f>
        <v>Legacy (pre-2010)</v>
      </c>
    </row>
    <row r="454" customFormat="false" ht="15" hidden="false" customHeight="false" outlineLevel="0" collapsed="false">
      <c r="A454" s="2" t="s">
        <v>537</v>
      </c>
      <c r="B454" s="2" t="s">
        <v>15</v>
      </c>
      <c r="C454" s="2" t="s">
        <v>34</v>
      </c>
      <c r="D454" s="2" t="s">
        <v>17</v>
      </c>
      <c r="E454" s="2" t="s">
        <v>52</v>
      </c>
      <c r="F454" s="2" t="s">
        <v>49</v>
      </c>
      <c r="G454" s="2" t="n">
        <v>2009</v>
      </c>
      <c r="H454" s="3" t="n">
        <v>7713.9</v>
      </c>
      <c r="I454" s="3" t="n">
        <v>7713.9</v>
      </c>
      <c r="J454" s="3" t="n">
        <v>0</v>
      </c>
      <c r="K454" s="3" t="n">
        <v>7200.6</v>
      </c>
      <c r="L454" s="4" t="n">
        <v>93.3457784</v>
      </c>
      <c r="M454" s="3" t="n">
        <v>513.3</v>
      </c>
      <c r="N454" s="4" t="n">
        <v>6.6542216</v>
      </c>
      <c r="O454" s="9" t="n">
        <f aca="false">$C$5-G454</f>
        <v>17</v>
      </c>
      <c r="P454" s="3" t="n">
        <f aca="false">H454/O454</f>
        <v>453.758823529412</v>
      </c>
      <c r="Q454" s="2" t="str">
        <f aca="false">IF(G454&lt;2010,"Legacy (pre-2010)",IF(G454&lt;=2017,"Established (2010-2017)","Emerging (2018+)"))</f>
        <v>Legacy (pre-2010)</v>
      </c>
    </row>
    <row r="455" customFormat="false" ht="15" hidden="false" customHeight="false" outlineLevel="0" collapsed="false">
      <c r="A455" s="2" t="s">
        <v>538</v>
      </c>
      <c r="B455" s="2" t="s">
        <v>15</v>
      </c>
      <c r="C455" s="2" t="s">
        <v>72</v>
      </c>
      <c r="D455" s="2" t="s">
        <v>73</v>
      </c>
      <c r="E455" s="2" t="s">
        <v>23</v>
      </c>
      <c r="F455" s="2" t="s">
        <v>19</v>
      </c>
      <c r="G455" s="2" t="n">
        <v>1999</v>
      </c>
      <c r="H455" s="3" t="n">
        <v>7689.5</v>
      </c>
      <c r="I455" s="3" t="n">
        <v>107.1</v>
      </c>
      <c r="J455" s="3" t="n">
        <v>7598.6</v>
      </c>
      <c r="K455" s="3" t="n">
        <v>0</v>
      </c>
      <c r="L455" s="4" t="n">
        <v>0</v>
      </c>
      <c r="M455" s="3" t="n">
        <v>7689.5</v>
      </c>
      <c r="N455" s="4" t="n">
        <v>100</v>
      </c>
      <c r="O455" s="9" t="n">
        <f aca="false">$C$5-G455</f>
        <v>27</v>
      </c>
      <c r="P455" s="3" t="n">
        <f aca="false">H455/O455</f>
        <v>284.796296296296</v>
      </c>
      <c r="Q455" s="2" t="str">
        <f aca="false">IF(G455&lt;2010,"Legacy (pre-2010)",IF(G455&lt;=2017,"Established (2010-2017)","Emerging (2018+)"))</f>
        <v>Legacy (pre-2010)</v>
      </c>
    </row>
    <row r="456" customFormat="false" ht="15" hidden="false" customHeight="false" outlineLevel="0" collapsed="false">
      <c r="A456" s="2" t="s">
        <v>539</v>
      </c>
      <c r="B456" s="2" t="s">
        <v>15</v>
      </c>
      <c r="C456" s="2" t="s">
        <v>22</v>
      </c>
      <c r="D456" s="2" t="s">
        <v>17</v>
      </c>
      <c r="E456" s="2" t="s">
        <v>52</v>
      </c>
      <c r="F456" s="2" t="s">
        <v>49</v>
      </c>
      <c r="G456" s="2" t="n">
        <v>1991</v>
      </c>
      <c r="H456" s="3" t="n">
        <v>7673.1</v>
      </c>
      <c r="I456" s="3" t="n">
        <v>7673.1</v>
      </c>
      <c r="J456" s="3" t="n">
        <v>0</v>
      </c>
      <c r="K456" s="3" t="n">
        <v>7659.2</v>
      </c>
      <c r="L456" s="4" t="n">
        <v>99.81884766</v>
      </c>
      <c r="M456" s="3" t="n">
        <v>13.9</v>
      </c>
      <c r="N456" s="4" t="n">
        <v>0.1811523374</v>
      </c>
      <c r="O456" s="9" t="n">
        <f aca="false">$C$5-G456</f>
        <v>35</v>
      </c>
      <c r="P456" s="3" t="n">
        <f aca="false">H456/O456</f>
        <v>219.231428571429</v>
      </c>
      <c r="Q456" s="2" t="str">
        <f aca="false">IF(G456&lt;2010,"Legacy (pre-2010)",IF(G456&lt;=2017,"Established (2010-2017)","Emerging (2018+)"))</f>
        <v>Legacy (pre-2010)</v>
      </c>
    </row>
    <row r="457" customFormat="false" ht="15" hidden="false" customHeight="false" outlineLevel="0" collapsed="false">
      <c r="A457" s="2" t="s">
        <v>540</v>
      </c>
      <c r="B457" s="2" t="s">
        <v>15</v>
      </c>
      <c r="C457" s="2" t="s">
        <v>22</v>
      </c>
      <c r="D457" s="2" t="s">
        <v>25</v>
      </c>
      <c r="E457" s="2" t="s">
        <v>26</v>
      </c>
      <c r="F457" s="2" t="s">
        <v>19</v>
      </c>
      <c r="G457" s="2" t="n">
        <v>2004</v>
      </c>
      <c r="H457" s="3" t="n">
        <v>7661.6</v>
      </c>
      <c r="I457" s="3" t="n">
        <v>1713.9</v>
      </c>
      <c r="J457" s="3" t="n">
        <v>5947.7</v>
      </c>
      <c r="K457" s="3" t="n">
        <v>560.9</v>
      </c>
      <c r="L457" s="4" t="n">
        <v>7.320925133</v>
      </c>
      <c r="M457" s="3" t="n">
        <v>7100.7</v>
      </c>
      <c r="N457" s="4" t="n">
        <v>92.67907487</v>
      </c>
      <c r="O457" s="9" t="n">
        <f aca="false">$C$5-G457</f>
        <v>22</v>
      </c>
      <c r="P457" s="3" t="n">
        <f aca="false">H457/O457</f>
        <v>348.254545454545</v>
      </c>
      <c r="Q457" s="2" t="str">
        <f aca="false">IF(G457&lt;2010,"Legacy (pre-2010)",IF(G457&lt;=2017,"Established (2010-2017)","Emerging (2018+)"))</f>
        <v>Legacy (pre-2010)</v>
      </c>
    </row>
    <row r="458" customFormat="false" ht="15" hidden="false" customHeight="false" outlineLevel="0" collapsed="false">
      <c r="A458" s="2" t="s">
        <v>541</v>
      </c>
      <c r="B458" s="2" t="s">
        <v>15</v>
      </c>
      <c r="C458" s="2" t="s">
        <v>43</v>
      </c>
      <c r="D458" s="2" t="s">
        <v>25</v>
      </c>
      <c r="E458" s="2" t="s">
        <v>26</v>
      </c>
      <c r="F458" s="2" t="s">
        <v>19</v>
      </c>
      <c r="G458" s="2" t="n">
        <v>2017</v>
      </c>
      <c r="H458" s="3" t="n">
        <v>7645.2</v>
      </c>
      <c r="I458" s="3" t="n">
        <v>4203.6</v>
      </c>
      <c r="J458" s="3" t="n">
        <v>3448.5</v>
      </c>
      <c r="K458" s="3" t="n">
        <v>1809.6</v>
      </c>
      <c r="L458" s="4" t="n">
        <v>23.66975357</v>
      </c>
      <c r="M458" s="3" t="n">
        <v>5835.6</v>
      </c>
      <c r="N458" s="4" t="n">
        <v>76.33024643</v>
      </c>
      <c r="O458" s="9" t="n">
        <f aca="false">$C$5-G458</f>
        <v>9</v>
      </c>
      <c r="P458" s="3" t="n">
        <f aca="false">H458/O458</f>
        <v>849.466666666667</v>
      </c>
      <c r="Q458" s="2" t="str">
        <f aca="false">IF(G458&lt;2010,"Legacy (pre-2010)",IF(G458&lt;=2017,"Established (2010-2017)","Emerging (2018+)"))</f>
        <v>Established (2010-2017)</v>
      </c>
    </row>
    <row r="459" customFormat="false" ht="15" hidden="false" customHeight="false" outlineLevel="0" collapsed="false">
      <c r="A459" s="2" t="s">
        <v>542</v>
      </c>
      <c r="B459" s="2" t="s">
        <v>21</v>
      </c>
      <c r="C459" s="2" t="s">
        <v>16</v>
      </c>
      <c r="D459" s="2" t="s">
        <v>17</v>
      </c>
      <c r="E459" s="2" t="s">
        <v>23</v>
      </c>
      <c r="F459" s="2" t="s">
        <v>19</v>
      </c>
      <c r="G459" s="2" t="n">
        <v>2000</v>
      </c>
      <c r="H459" s="3" t="n">
        <v>7628.1</v>
      </c>
      <c r="I459" s="3" t="n">
        <v>6657.6</v>
      </c>
      <c r="J459" s="3" t="n">
        <v>974.8</v>
      </c>
      <c r="K459" s="3" t="n">
        <v>3569</v>
      </c>
      <c r="L459" s="4" t="n">
        <v>46.78753556</v>
      </c>
      <c r="M459" s="3" t="n">
        <v>4059.1</v>
      </c>
      <c r="N459" s="4" t="n">
        <v>53.21246444</v>
      </c>
      <c r="O459" s="9" t="n">
        <f aca="false">$C$5-G459</f>
        <v>26</v>
      </c>
      <c r="P459" s="3" t="n">
        <f aca="false">H459/O459</f>
        <v>293.388461538462</v>
      </c>
      <c r="Q459" s="2" t="str">
        <f aca="false">IF(G459&lt;2010,"Legacy (pre-2010)",IF(G459&lt;=2017,"Established (2010-2017)","Emerging (2018+)"))</f>
        <v>Legacy (pre-2010)</v>
      </c>
    </row>
    <row r="460" customFormat="false" ht="15" hidden="false" customHeight="false" outlineLevel="0" collapsed="false">
      <c r="A460" s="2" t="s">
        <v>543</v>
      </c>
      <c r="B460" s="2" t="s">
        <v>15</v>
      </c>
      <c r="C460" s="2" t="s">
        <v>167</v>
      </c>
      <c r="D460" s="2" t="s">
        <v>168</v>
      </c>
      <c r="E460" s="2" t="s">
        <v>83</v>
      </c>
      <c r="F460" s="2" t="s">
        <v>19</v>
      </c>
      <c r="G460" s="2" t="n">
        <v>2003</v>
      </c>
      <c r="H460" s="3" t="n">
        <v>7618.8</v>
      </c>
      <c r="I460" s="3" t="n">
        <v>5257.8</v>
      </c>
      <c r="J460" s="3" t="n">
        <v>2361</v>
      </c>
      <c r="K460" s="3" t="n">
        <v>2908.3</v>
      </c>
      <c r="L460" s="4" t="n">
        <v>38.17267811</v>
      </c>
      <c r="M460" s="3" t="n">
        <v>4710.5</v>
      </c>
      <c r="N460" s="4" t="n">
        <v>61.82732189</v>
      </c>
      <c r="O460" s="9" t="n">
        <f aca="false">$C$5-G460</f>
        <v>23</v>
      </c>
      <c r="P460" s="3" t="n">
        <f aca="false">H460/O460</f>
        <v>331.252173913043</v>
      </c>
      <c r="Q460" s="2" t="str">
        <f aca="false">IF(G460&lt;2010,"Legacy (pre-2010)",IF(G460&lt;=2017,"Established (2010-2017)","Emerging (2018+)"))</f>
        <v>Legacy (pre-2010)</v>
      </c>
    </row>
    <row r="461" customFormat="false" ht="15" hidden="false" customHeight="false" outlineLevel="0" collapsed="false">
      <c r="A461" s="2" t="s">
        <v>544</v>
      </c>
      <c r="B461" s="2" t="s">
        <v>15</v>
      </c>
      <c r="C461" s="2" t="s">
        <v>22</v>
      </c>
      <c r="D461" s="2" t="s">
        <v>17</v>
      </c>
      <c r="E461" s="2" t="s">
        <v>292</v>
      </c>
      <c r="F461" s="2" t="s">
        <v>49</v>
      </c>
      <c r="G461" s="2" t="n">
        <v>2000</v>
      </c>
      <c r="H461" s="3" t="n">
        <v>7612.3</v>
      </c>
      <c r="I461" s="3" t="n">
        <v>7614.9</v>
      </c>
      <c r="J461" s="3" t="n">
        <v>0</v>
      </c>
      <c r="K461" s="3" t="n">
        <v>6849.1</v>
      </c>
      <c r="L461" s="4" t="n">
        <v>89.97412083</v>
      </c>
      <c r="M461" s="3" t="n">
        <v>763.2</v>
      </c>
      <c r="N461" s="4" t="n">
        <v>10.02587917</v>
      </c>
      <c r="O461" s="9" t="n">
        <f aca="false">$C$5-G461</f>
        <v>26</v>
      </c>
      <c r="P461" s="3" t="n">
        <f aca="false">H461/O461</f>
        <v>292.780769230769</v>
      </c>
      <c r="Q461" s="2" t="str">
        <f aca="false">IF(G461&lt;2010,"Legacy (pre-2010)",IF(G461&lt;=2017,"Established (2010-2017)","Emerging (2018+)"))</f>
        <v>Legacy (pre-2010)</v>
      </c>
    </row>
    <row r="462" customFormat="false" ht="15" hidden="false" customHeight="false" outlineLevel="0" collapsed="false">
      <c r="A462" s="2" t="s">
        <v>545</v>
      </c>
      <c r="B462" s="2" t="s">
        <v>21</v>
      </c>
      <c r="C462" s="2" t="s">
        <v>22</v>
      </c>
      <c r="D462" s="2" t="s">
        <v>17</v>
      </c>
      <c r="E462" s="2" t="s">
        <v>28</v>
      </c>
      <c r="F462" s="2" t="s">
        <v>19</v>
      </c>
      <c r="G462" s="2" t="n">
        <v>2016</v>
      </c>
      <c r="H462" s="3" t="n">
        <v>7608.2</v>
      </c>
      <c r="I462" s="3" t="n">
        <v>3801.5</v>
      </c>
      <c r="J462" s="3" t="n">
        <v>3806.7</v>
      </c>
      <c r="K462" s="3" t="n">
        <v>2191.8</v>
      </c>
      <c r="L462" s="4" t="n">
        <v>28.80839095</v>
      </c>
      <c r="M462" s="3" t="n">
        <v>5416.4</v>
      </c>
      <c r="N462" s="4" t="n">
        <v>71.19160905</v>
      </c>
      <c r="O462" s="9" t="n">
        <f aca="false">$C$5-G462</f>
        <v>10</v>
      </c>
      <c r="P462" s="3" t="n">
        <f aca="false">H462/O462</f>
        <v>760.82</v>
      </c>
      <c r="Q462" s="2" t="str">
        <f aca="false">IF(G462&lt;2010,"Legacy (pre-2010)",IF(G462&lt;=2017,"Established (2010-2017)","Emerging (2018+)"))</f>
        <v>Established (2010-2017)</v>
      </c>
    </row>
    <row r="463" customFormat="false" ht="15" hidden="false" customHeight="false" outlineLevel="0" collapsed="false">
      <c r="A463" s="2" t="s">
        <v>546</v>
      </c>
      <c r="B463" s="2" t="s">
        <v>21</v>
      </c>
      <c r="C463" s="2" t="s">
        <v>34</v>
      </c>
      <c r="D463" s="2" t="s">
        <v>17</v>
      </c>
      <c r="E463" s="2" t="s">
        <v>23</v>
      </c>
      <c r="F463" s="2" t="s">
        <v>19</v>
      </c>
      <c r="G463" s="2" t="n">
        <v>2012</v>
      </c>
      <c r="H463" s="3" t="n">
        <v>7596.7</v>
      </c>
      <c r="I463" s="3" t="n">
        <v>3575.7</v>
      </c>
      <c r="J463" s="3" t="n">
        <v>4021</v>
      </c>
      <c r="K463" s="3" t="n">
        <v>2786.1</v>
      </c>
      <c r="L463" s="4" t="n">
        <v>36.67513526</v>
      </c>
      <c r="M463" s="3" t="n">
        <v>4810.6</v>
      </c>
      <c r="N463" s="4" t="n">
        <v>63.32486474</v>
      </c>
      <c r="O463" s="9" t="n">
        <f aca="false">$C$5-G463</f>
        <v>14</v>
      </c>
      <c r="P463" s="3" t="n">
        <f aca="false">H463/O463</f>
        <v>542.621428571429</v>
      </c>
      <c r="Q463" s="2" t="str">
        <f aca="false">IF(G463&lt;2010,"Legacy (pre-2010)",IF(G463&lt;=2017,"Established (2010-2017)","Emerging (2018+)"))</f>
        <v>Established (2010-2017)</v>
      </c>
    </row>
    <row r="464" customFormat="false" ht="15" hidden="false" customHeight="false" outlineLevel="0" collapsed="false">
      <c r="A464" s="2" t="s">
        <v>547</v>
      </c>
      <c r="B464" s="2" t="s">
        <v>15</v>
      </c>
      <c r="C464" s="2" t="s">
        <v>22</v>
      </c>
      <c r="D464" s="2" t="s">
        <v>17</v>
      </c>
      <c r="E464" s="2" t="s">
        <v>18</v>
      </c>
      <c r="F464" s="2" t="s">
        <v>19</v>
      </c>
      <c r="G464" s="2" t="n">
        <v>2007</v>
      </c>
      <c r="H464" s="3" t="n">
        <v>7589.1</v>
      </c>
      <c r="I464" s="3" t="n">
        <v>6273.4</v>
      </c>
      <c r="J464" s="3" t="n">
        <v>1315.7</v>
      </c>
      <c r="K464" s="3" t="n">
        <v>5418.2</v>
      </c>
      <c r="L464" s="4" t="n">
        <v>71.39450001</v>
      </c>
      <c r="M464" s="3" t="n">
        <v>2170.9</v>
      </c>
      <c r="N464" s="4" t="n">
        <v>28.60549999</v>
      </c>
      <c r="O464" s="9" t="n">
        <f aca="false">$C$5-G464</f>
        <v>19</v>
      </c>
      <c r="P464" s="3" t="n">
        <f aca="false">H464/O464</f>
        <v>399.426315789474</v>
      </c>
      <c r="Q464" s="2" t="str">
        <f aca="false">IF(G464&lt;2010,"Legacy (pre-2010)",IF(G464&lt;=2017,"Established (2010-2017)","Emerging (2018+)"))</f>
        <v>Legacy (pre-2010)</v>
      </c>
    </row>
    <row r="465" customFormat="false" ht="15" hidden="false" customHeight="false" outlineLevel="0" collapsed="false">
      <c r="A465" s="2" t="s">
        <v>548</v>
      </c>
      <c r="B465" s="2" t="s">
        <v>21</v>
      </c>
      <c r="C465" s="2" t="s">
        <v>549</v>
      </c>
      <c r="D465" s="2" t="s">
        <v>17</v>
      </c>
      <c r="E465" s="2" t="s">
        <v>52</v>
      </c>
      <c r="F465" s="2" t="s">
        <v>19</v>
      </c>
      <c r="G465" s="2" t="n">
        <v>2017</v>
      </c>
      <c r="H465" s="3" t="n">
        <v>7552.8</v>
      </c>
      <c r="I465" s="3" t="n">
        <v>5418.1</v>
      </c>
      <c r="J465" s="3" t="n">
        <v>2144.1</v>
      </c>
      <c r="K465" s="3" t="n">
        <v>4710</v>
      </c>
      <c r="L465" s="4" t="n">
        <v>62.36097871</v>
      </c>
      <c r="M465" s="3" t="n">
        <v>2842.8</v>
      </c>
      <c r="N465" s="4" t="n">
        <v>37.63902129</v>
      </c>
      <c r="O465" s="9" t="n">
        <f aca="false">$C$5-G465</f>
        <v>9</v>
      </c>
      <c r="P465" s="3" t="n">
        <f aca="false">H465/O465</f>
        <v>839.2</v>
      </c>
      <c r="Q465" s="2" t="str">
        <f aca="false">IF(G465&lt;2010,"Legacy (pre-2010)",IF(G465&lt;=2017,"Established (2010-2017)","Emerging (2018+)"))</f>
        <v>Established (2010-2017)</v>
      </c>
    </row>
    <row r="466" customFormat="false" ht="15" hidden="false" customHeight="false" outlineLevel="0" collapsed="false">
      <c r="A466" s="2" t="s">
        <v>550</v>
      </c>
      <c r="B466" s="2" t="s">
        <v>15</v>
      </c>
      <c r="C466" s="2" t="s">
        <v>72</v>
      </c>
      <c r="D466" s="2" t="s">
        <v>551</v>
      </c>
      <c r="E466" s="2" t="s">
        <v>18</v>
      </c>
      <c r="F466" s="2" t="s">
        <v>19</v>
      </c>
      <c r="G466" s="2" t="n">
        <v>2014</v>
      </c>
      <c r="H466" s="3" t="n">
        <v>7550.3</v>
      </c>
      <c r="I466" s="3" t="n">
        <v>6212.4</v>
      </c>
      <c r="J466" s="3" t="n">
        <v>1334.7</v>
      </c>
      <c r="K466" s="3" t="n">
        <v>1537.2</v>
      </c>
      <c r="L466" s="4" t="n">
        <v>20.35945592</v>
      </c>
      <c r="M466" s="3" t="n">
        <v>6013.1</v>
      </c>
      <c r="N466" s="4" t="n">
        <v>79.64054408</v>
      </c>
      <c r="O466" s="9" t="n">
        <f aca="false">$C$5-G466</f>
        <v>12</v>
      </c>
      <c r="P466" s="3" t="n">
        <f aca="false">H466/O466</f>
        <v>629.191666666667</v>
      </c>
      <c r="Q466" s="2" t="str">
        <f aca="false">IF(G466&lt;2010,"Legacy (pre-2010)",IF(G466&lt;=2017,"Established (2010-2017)","Emerging (2018+)"))</f>
        <v>Established (2010-2017)</v>
      </c>
    </row>
    <row r="467" customFormat="false" ht="15" hidden="false" customHeight="false" outlineLevel="0" collapsed="false">
      <c r="A467" s="2" t="s">
        <v>552</v>
      </c>
      <c r="B467" s="2" t="s">
        <v>21</v>
      </c>
      <c r="C467" s="2" t="s">
        <v>16</v>
      </c>
      <c r="D467" s="2" t="s">
        <v>258</v>
      </c>
      <c r="E467" s="2" t="s">
        <v>23</v>
      </c>
      <c r="F467" s="2" t="s">
        <v>19</v>
      </c>
      <c r="G467" s="2" t="n">
        <v>1981</v>
      </c>
      <c r="H467" s="3" t="n">
        <v>7543.1</v>
      </c>
      <c r="I467" s="3" t="n">
        <v>7093.1</v>
      </c>
      <c r="J467" s="3" t="n">
        <v>450</v>
      </c>
      <c r="K467" s="3" t="n">
        <v>6268.7</v>
      </c>
      <c r="L467" s="4" t="n">
        <v>83.10508942</v>
      </c>
      <c r="M467" s="3" t="n">
        <v>1274.4</v>
      </c>
      <c r="N467" s="4" t="n">
        <v>16.89491058</v>
      </c>
      <c r="O467" s="9" t="n">
        <f aca="false">$C$5-G467</f>
        <v>45</v>
      </c>
      <c r="P467" s="3" t="n">
        <f aca="false">H467/O467</f>
        <v>167.624444444444</v>
      </c>
      <c r="Q467" s="2" t="str">
        <f aca="false">IF(G467&lt;2010,"Legacy (pre-2010)",IF(G467&lt;=2017,"Established (2010-2017)","Emerging (2018+)"))</f>
        <v>Legacy (pre-2010)</v>
      </c>
    </row>
    <row r="468" customFormat="false" ht="15" hidden="false" customHeight="false" outlineLevel="0" collapsed="false">
      <c r="A468" s="2" t="s">
        <v>553</v>
      </c>
      <c r="B468" s="2" t="s">
        <v>15</v>
      </c>
      <c r="C468" s="2" t="s">
        <v>16</v>
      </c>
      <c r="D468" s="2" t="s">
        <v>17</v>
      </c>
      <c r="E468" s="2" t="s">
        <v>52</v>
      </c>
      <c r="F468" s="2" t="s">
        <v>19</v>
      </c>
      <c r="G468" s="2" t="n">
        <v>1980</v>
      </c>
      <c r="H468" s="3" t="n">
        <v>7503.2</v>
      </c>
      <c r="I468" s="3" t="n">
        <v>5958.2</v>
      </c>
      <c r="J468" s="3" t="n">
        <v>1568.1</v>
      </c>
      <c r="K468" s="3" t="n">
        <v>6592.7</v>
      </c>
      <c r="L468" s="4" t="n">
        <v>87.86517752</v>
      </c>
      <c r="M468" s="3" t="n">
        <v>910.5</v>
      </c>
      <c r="N468" s="4" t="n">
        <v>12.13482248</v>
      </c>
      <c r="O468" s="9" t="n">
        <f aca="false">$C$5-G468</f>
        <v>46</v>
      </c>
      <c r="P468" s="3" t="n">
        <f aca="false">H468/O468</f>
        <v>163.113043478261</v>
      </c>
      <c r="Q468" s="2" t="str">
        <f aca="false">IF(G468&lt;2010,"Legacy (pre-2010)",IF(G468&lt;=2017,"Established (2010-2017)","Emerging (2018+)"))</f>
        <v>Legacy (pre-2010)</v>
      </c>
    </row>
    <row r="469" customFormat="false" ht="15" hidden="false" customHeight="false" outlineLevel="0" collapsed="false">
      <c r="A469" s="2" t="s">
        <v>554</v>
      </c>
      <c r="B469" s="2" t="s">
        <v>15</v>
      </c>
      <c r="C469" s="2" t="s">
        <v>46</v>
      </c>
      <c r="D469" s="2" t="s">
        <v>47</v>
      </c>
      <c r="E469" s="2" t="s">
        <v>48</v>
      </c>
      <c r="F469" s="2" t="s">
        <v>49</v>
      </c>
      <c r="G469" s="2" t="n">
        <v>2020</v>
      </c>
      <c r="H469" s="3" t="n">
        <v>7486.2</v>
      </c>
      <c r="I469" s="3" t="n">
        <v>7178.8</v>
      </c>
      <c r="J469" s="3" t="n">
        <v>328.1</v>
      </c>
      <c r="K469" s="3" t="n">
        <v>7290.2</v>
      </c>
      <c r="L469" s="4" t="n">
        <v>97.38184927</v>
      </c>
      <c r="M469" s="3" t="n">
        <v>196</v>
      </c>
      <c r="N469" s="4" t="n">
        <v>2.618150731</v>
      </c>
      <c r="O469" s="9" t="n">
        <f aca="false">$C$5-G469</f>
        <v>6</v>
      </c>
      <c r="P469" s="3" t="n">
        <f aca="false">H469/O469</f>
        <v>1247.7</v>
      </c>
      <c r="Q469" s="2" t="str">
        <f aca="false">IF(G469&lt;2010,"Legacy (pre-2010)",IF(G469&lt;=2017,"Established (2010-2017)","Emerging (2018+)"))</f>
        <v>Emerging (2018+)</v>
      </c>
    </row>
    <row r="470" customFormat="false" ht="15" hidden="false" customHeight="false" outlineLevel="0" collapsed="false">
      <c r="A470" s="2" t="s">
        <v>555</v>
      </c>
      <c r="B470" s="2" t="s">
        <v>15</v>
      </c>
      <c r="C470" s="2" t="s">
        <v>22</v>
      </c>
      <c r="D470" s="2" t="s">
        <v>17</v>
      </c>
      <c r="E470" s="2" t="s">
        <v>58</v>
      </c>
      <c r="F470" s="2" t="s">
        <v>19</v>
      </c>
      <c r="G470" s="2" t="n">
        <v>2017</v>
      </c>
      <c r="H470" s="3" t="n">
        <v>7485.1</v>
      </c>
      <c r="I470" s="3" t="n">
        <v>6757.7</v>
      </c>
      <c r="J470" s="3" t="n">
        <v>735.7</v>
      </c>
      <c r="K470" s="3" t="n">
        <v>6205.8</v>
      </c>
      <c r="L470" s="4" t="n">
        <v>82.90871197</v>
      </c>
      <c r="M470" s="3" t="n">
        <v>1279.3</v>
      </c>
      <c r="N470" s="4" t="n">
        <v>17.09128803</v>
      </c>
      <c r="O470" s="9" t="n">
        <f aca="false">$C$5-G470</f>
        <v>9</v>
      </c>
      <c r="P470" s="3" t="n">
        <f aca="false">H470/O470</f>
        <v>831.677777777778</v>
      </c>
      <c r="Q470" s="2" t="str">
        <f aca="false">IF(G470&lt;2010,"Legacy (pre-2010)",IF(G470&lt;=2017,"Established (2010-2017)","Emerging (2018+)"))</f>
        <v>Established (2010-2017)</v>
      </c>
    </row>
    <row r="471" customFormat="false" ht="15" hidden="false" customHeight="false" outlineLevel="0" collapsed="false">
      <c r="A471" s="2" t="s">
        <v>556</v>
      </c>
      <c r="B471" s="2" t="s">
        <v>21</v>
      </c>
      <c r="C471" s="2" t="s">
        <v>167</v>
      </c>
      <c r="D471" s="2" t="s">
        <v>168</v>
      </c>
      <c r="E471" s="2" t="s">
        <v>169</v>
      </c>
      <c r="F471" s="2" t="s">
        <v>19</v>
      </c>
      <c r="G471" s="2" t="n">
        <v>2021</v>
      </c>
      <c r="H471" s="3" t="n">
        <v>7467.3</v>
      </c>
      <c r="I471" s="3" t="n">
        <v>7464.6</v>
      </c>
      <c r="J471" s="3" t="n">
        <v>26</v>
      </c>
      <c r="K471" s="3" t="n">
        <v>1330.8</v>
      </c>
      <c r="L471" s="4" t="n">
        <v>17.82170262</v>
      </c>
      <c r="M471" s="3" t="n">
        <v>6136.5</v>
      </c>
      <c r="N471" s="4" t="n">
        <v>82.17829738</v>
      </c>
      <c r="O471" s="9" t="n">
        <f aca="false">$C$5-G471</f>
        <v>5</v>
      </c>
      <c r="P471" s="3" t="n">
        <f aca="false">H471/O471</f>
        <v>1493.46</v>
      </c>
      <c r="Q471" s="2" t="str">
        <f aca="false">IF(G471&lt;2010,"Legacy (pre-2010)",IF(G471&lt;=2017,"Established (2010-2017)","Emerging (2018+)"))</f>
        <v>Emerging (2018+)</v>
      </c>
    </row>
    <row r="472" customFormat="false" ht="15" hidden="false" customHeight="false" outlineLevel="0" collapsed="false">
      <c r="A472" s="2" t="s">
        <v>557</v>
      </c>
      <c r="B472" s="2" t="s">
        <v>15</v>
      </c>
      <c r="C472" s="2" t="s">
        <v>22</v>
      </c>
      <c r="D472" s="2" t="s">
        <v>17</v>
      </c>
      <c r="E472" s="2" t="s">
        <v>23</v>
      </c>
      <c r="F472" s="2" t="s">
        <v>49</v>
      </c>
      <c r="G472" s="2" t="n">
        <v>2014</v>
      </c>
      <c r="H472" s="3" t="n">
        <v>7453.2</v>
      </c>
      <c r="I472" s="3" t="n">
        <v>2524.9</v>
      </c>
      <c r="J472" s="3" t="n">
        <v>4942.4</v>
      </c>
      <c r="K472" s="3" t="n">
        <v>6424.3</v>
      </c>
      <c r="L472" s="4" t="n">
        <v>86.19519133</v>
      </c>
      <c r="M472" s="3" t="n">
        <v>1028.9</v>
      </c>
      <c r="N472" s="4" t="n">
        <v>13.80480867</v>
      </c>
      <c r="O472" s="9" t="n">
        <f aca="false">$C$5-G472</f>
        <v>12</v>
      </c>
      <c r="P472" s="3" t="n">
        <f aca="false">H472/O472</f>
        <v>621.1</v>
      </c>
      <c r="Q472" s="2" t="str">
        <f aca="false">IF(G472&lt;2010,"Legacy (pre-2010)",IF(G472&lt;=2017,"Established (2010-2017)","Emerging (2018+)"))</f>
        <v>Established (2010-2017)</v>
      </c>
    </row>
    <row r="473" customFormat="false" ht="15" hidden="false" customHeight="false" outlineLevel="0" collapsed="false">
      <c r="A473" s="2" t="s">
        <v>558</v>
      </c>
      <c r="B473" s="2" t="s">
        <v>15</v>
      </c>
      <c r="C473" s="2" t="s">
        <v>22</v>
      </c>
      <c r="D473" s="2" t="s">
        <v>17</v>
      </c>
      <c r="E473" s="2" t="s">
        <v>99</v>
      </c>
      <c r="F473" s="2" t="s">
        <v>19</v>
      </c>
      <c r="G473" s="2" t="n">
        <v>1955</v>
      </c>
      <c r="H473" s="3" t="n">
        <v>7450.6</v>
      </c>
      <c r="I473" s="3" t="n">
        <v>6491.8</v>
      </c>
      <c r="J473" s="3" t="n">
        <v>961.4</v>
      </c>
      <c r="K473" s="3" t="n">
        <v>5866.4</v>
      </c>
      <c r="L473" s="4" t="n">
        <v>78.7372829</v>
      </c>
      <c r="M473" s="3" t="n">
        <v>1584.2</v>
      </c>
      <c r="N473" s="4" t="n">
        <v>21.2627171</v>
      </c>
      <c r="O473" s="9" t="n">
        <f aca="false">$C$5-G473</f>
        <v>71</v>
      </c>
      <c r="P473" s="3" t="n">
        <f aca="false">H473/O473</f>
        <v>104.938028169014</v>
      </c>
      <c r="Q473" s="2" t="str">
        <f aca="false">IF(G473&lt;2010,"Legacy (pre-2010)",IF(G473&lt;=2017,"Established (2010-2017)","Emerging (2018+)"))</f>
        <v>Legacy (pre-2010)</v>
      </c>
    </row>
    <row r="474" customFormat="false" ht="15" hidden="false" customHeight="false" outlineLevel="0" collapsed="false">
      <c r="A474" s="2" t="s">
        <v>559</v>
      </c>
      <c r="B474" s="2" t="s">
        <v>15</v>
      </c>
      <c r="C474" s="2" t="s">
        <v>22</v>
      </c>
      <c r="D474" s="2" t="s">
        <v>17</v>
      </c>
      <c r="E474" s="2" t="s">
        <v>18</v>
      </c>
      <c r="F474" s="2" t="s">
        <v>19</v>
      </c>
      <c r="G474" s="2" t="n">
        <v>2007</v>
      </c>
      <c r="H474" s="3" t="n">
        <v>7431.9</v>
      </c>
      <c r="I474" s="3" t="n">
        <v>6391.9</v>
      </c>
      <c r="J474" s="3" t="n">
        <v>1058.7</v>
      </c>
      <c r="K474" s="3" t="n">
        <v>528.2</v>
      </c>
      <c r="L474" s="4" t="n">
        <v>7.107200043</v>
      </c>
      <c r="M474" s="3" t="n">
        <v>6903.7</v>
      </c>
      <c r="N474" s="4" t="n">
        <v>92.89279996</v>
      </c>
      <c r="O474" s="9" t="n">
        <f aca="false">$C$5-G474</f>
        <v>19</v>
      </c>
      <c r="P474" s="3" t="n">
        <f aca="false">H474/O474</f>
        <v>391.152631578947</v>
      </c>
      <c r="Q474" s="2" t="str">
        <f aca="false">IF(G474&lt;2010,"Legacy (pre-2010)",IF(G474&lt;=2017,"Established (2010-2017)","Emerging (2018+)"))</f>
        <v>Legacy (pre-2010)</v>
      </c>
    </row>
    <row r="475" customFormat="false" ht="15" hidden="false" customHeight="false" outlineLevel="0" collapsed="false">
      <c r="A475" s="2" t="s">
        <v>560</v>
      </c>
      <c r="B475" s="2" t="s">
        <v>15</v>
      </c>
      <c r="C475" s="2" t="s">
        <v>22</v>
      </c>
      <c r="D475" s="2" t="s">
        <v>17</v>
      </c>
      <c r="E475" s="2" t="s">
        <v>99</v>
      </c>
      <c r="F475" s="2" t="s">
        <v>19</v>
      </c>
      <c r="G475" s="2" t="n">
        <v>2005</v>
      </c>
      <c r="H475" s="3" t="n">
        <v>7423.5</v>
      </c>
      <c r="I475" s="3" t="n">
        <v>7117.2</v>
      </c>
      <c r="J475" s="3" t="n">
        <v>319.9</v>
      </c>
      <c r="K475" s="3" t="n">
        <v>6510.5</v>
      </c>
      <c r="L475" s="4" t="n">
        <v>87.7012191</v>
      </c>
      <c r="M475" s="3" t="n">
        <v>913</v>
      </c>
      <c r="N475" s="4" t="n">
        <v>12.2987809</v>
      </c>
      <c r="O475" s="9" t="n">
        <f aca="false">$C$5-G475</f>
        <v>21</v>
      </c>
      <c r="P475" s="3" t="n">
        <f aca="false">H475/O475</f>
        <v>353.5</v>
      </c>
      <c r="Q475" s="2" t="str">
        <f aca="false">IF(G475&lt;2010,"Legacy (pre-2010)",IF(G475&lt;=2017,"Established (2010-2017)","Emerging (2018+)"))</f>
        <v>Legacy (pre-2010)</v>
      </c>
    </row>
    <row r="476" customFormat="false" ht="15" hidden="false" customHeight="false" outlineLevel="0" collapsed="false">
      <c r="A476" s="2" t="s">
        <v>561</v>
      </c>
      <c r="B476" s="2" t="s">
        <v>15</v>
      </c>
      <c r="C476" s="2" t="s">
        <v>167</v>
      </c>
      <c r="D476" s="2" t="s">
        <v>168</v>
      </c>
      <c r="E476" s="2" t="s">
        <v>169</v>
      </c>
      <c r="F476" s="2" t="s">
        <v>19</v>
      </c>
      <c r="G476" s="2" t="n">
        <v>2009</v>
      </c>
      <c r="H476" s="3" t="n">
        <v>7416.8</v>
      </c>
      <c r="I476" s="3" t="n">
        <v>4668.1</v>
      </c>
      <c r="J476" s="3" t="n">
        <v>2767</v>
      </c>
      <c r="K476" s="3" t="n">
        <v>4913.6</v>
      </c>
      <c r="L476" s="4" t="n">
        <v>66.24959551</v>
      </c>
      <c r="M476" s="3" t="n">
        <v>2503.2</v>
      </c>
      <c r="N476" s="4" t="n">
        <v>33.75040449</v>
      </c>
      <c r="O476" s="9" t="n">
        <f aca="false">$C$5-G476</f>
        <v>17</v>
      </c>
      <c r="P476" s="3" t="n">
        <f aca="false">H476/O476</f>
        <v>436.282352941177</v>
      </c>
      <c r="Q476" s="2" t="str">
        <f aca="false">IF(G476&lt;2010,"Legacy (pre-2010)",IF(G476&lt;=2017,"Established (2010-2017)","Emerging (2018+)"))</f>
        <v>Legacy (pre-2010)</v>
      </c>
    </row>
    <row r="477" customFormat="false" ht="15" hidden="false" customHeight="false" outlineLevel="0" collapsed="false">
      <c r="A477" s="2" t="s">
        <v>562</v>
      </c>
      <c r="B477" s="2" t="s">
        <v>15</v>
      </c>
      <c r="C477" s="2" t="s">
        <v>223</v>
      </c>
      <c r="D477" s="2" t="s">
        <v>25</v>
      </c>
      <c r="E477" s="2" t="s">
        <v>18</v>
      </c>
      <c r="F477" s="2" t="s">
        <v>19</v>
      </c>
      <c r="G477" s="2" t="n">
        <v>2017</v>
      </c>
      <c r="H477" s="3" t="n">
        <v>7405.6</v>
      </c>
      <c r="I477" s="3" t="n">
        <v>6405.3</v>
      </c>
      <c r="J477" s="3" t="n">
        <v>1014.5</v>
      </c>
      <c r="K477" s="3" t="n">
        <v>639.2</v>
      </c>
      <c r="L477" s="4" t="n">
        <v>8.631306039</v>
      </c>
      <c r="M477" s="3" t="n">
        <v>6766.4</v>
      </c>
      <c r="N477" s="4" t="n">
        <v>91.36869396</v>
      </c>
      <c r="O477" s="9" t="n">
        <f aca="false">$C$5-G477</f>
        <v>9</v>
      </c>
      <c r="P477" s="3" t="n">
        <f aca="false">H477/O477</f>
        <v>822.844444444444</v>
      </c>
      <c r="Q477" s="2" t="str">
        <f aca="false">IF(G477&lt;2010,"Legacy (pre-2010)",IF(G477&lt;=2017,"Established (2010-2017)","Emerging (2018+)"))</f>
        <v>Established (2010-2017)</v>
      </c>
    </row>
    <row r="478" customFormat="false" ht="15" hidden="false" customHeight="false" outlineLevel="0" collapsed="false">
      <c r="A478" s="2" t="s">
        <v>563</v>
      </c>
      <c r="B478" s="2" t="s">
        <v>21</v>
      </c>
      <c r="C478" s="2" t="s">
        <v>167</v>
      </c>
      <c r="D478" s="2" t="s">
        <v>168</v>
      </c>
      <c r="E478" s="2" t="s">
        <v>169</v>
      </c>
      <c r="F478" s="2" t="s">
        <v>49</v>
      </c>
      <c r="G478" s="2" t="n">
        <v>2013</v>
      </c>
      <c r="H478" s="3" t="n">
        <v>7388.4</v>
      </c>
      <c r="I478" s="3" t="n">
        <v>3471.7</v>
      </c>
      <c r="J478" s="3" t="n">
        <v>3933.9</v>
      </c>
      <c r="K478" s="3" t="n">
        <v>2317.8</v>
      </c>
      <c r="L478" s="4" t="n">
        <v>31.37079747</v>
      </c>
      <c r="M478" s="3" t="n">
        <v>5070.6</v>
      </c>
      <c r="N478" s="4" t="n">
        <v>68.62920253</v>
      </c>
      <c r="O478" s="9" t="n">
        <f aca="false">$C$5-G478</f>
        <v>13</v>
      </c>
      <c r="P478" s="3" t="n">
        <f aca="false">H478/O478</f>
        <v>568.338461538462</v>
      </c>
      <c r="Q478" s="2" t="str">
        <f aca="false">IF(G478&lt;2010,"Legacy (pre-2010)",IF(G478&lt;=2017,"Established (2010-2017)","Emerging (2018+)"))</f>
        <v>Established (2010-2017)</v>
      </c>
    </row>
    <row r="479" customFormat="false" ht="15" hidden="false" customHeight="false" outlineLevel="0" collapsed="false">
      <c r="A479" s="2" t="s">
        <v>564</v>
      </c>
      <c r="B479" s="2" t="s">
        <v>15</v>
      </c>
      <c r="C479" s="2" t="s">
        <v>167</v>
      </c>
      <c r="D479" s="2" t="s">
        <v>168</v>
      </c>
      <c r="E479" s="2" t="s">
        <v>83</v>
      </c>
      <c r="F479" s="2" t="s">
        <v>19</v>
      </c>
      <c r="G479" s="2" t="n">
        <v>2015</v>
      </c>
      <c r="H479" s="3" t="n">
        <v>7387.8</v>
      </c>
      <c r="I479" s="3" t="n">
        <v>2807.5</v>
      </c>
      <c r="J479" s="3" t="n">
        <v>4581</v>
      </c>
      <c r="K479" s="3" t="n">
        <v>359.7</v>
      </c>
      <c r="L479" s="4" t="n">
        <v>4.868837814</v>
      </c>
      <c r="M479" s="3" t="n">
        <v>7028.1</v>
      </c>
      <c r="N479" s="4" t="n">
        <v>95.13116219</v>
      </c>
      <c r="O479" s="9" t="n">
        <f aca="false">$C$5-G479</f>
        <v>11</v>
      </c>
      <c r="P479" s="3" t="n">
        <f aca="false">H479/O479</f>
        <v>671.618181818182</v>
      </c>
      <c r="Q479" s="2" t="str">
        <f aca="false">IF(G479&lt;2010,"Legacy (pre-2010)",IF(G479&lt;=2017,"Established (2010-2017)","Emerging (2018+)"))</f>
        <v>Established (2010-2017)</v>
      </c>
    </row>
    <row r="480" customFormat="false" ht="15" hidden="false" customHeight="false" outlineLevel="0" collapsed="false">
      <c r="A480" s="2" t="s">
        <v>565</v>
      </c>
      <c r="B480" s="2" t="s">
        <v>15</v>
      </c>
      <c r="C480" s="2" t="s">
        <v>223</v>
      </c>
      <c r="D480" s="2" t="s">
        <v>25</v>
      </c>
      <c r="E480" s="2" t="s">
        <v>18</v>
      </c>
      <c r="F480" s="2" t="s">
        <v>19</v>
      </c>
      <c r="G480" s="2" t="n">
        <v>2018</v>
      </c>
      <c r="H480" s="3" t="n">
        <v>7377.9</v>
      </c>
      <c r="I480" s="3" t="n">
        <v>4274.5</v>
      </c>
      <c r="J480" s="3" t="n">
        <v>3113.3</v>
      </c>
      <c r="K480" s="3" t="n">
        <v>716.5</v>
      </c>
      <c r="L480" s="4" t="n">
        <v>9.711435503</v>
      </c>
      <c r="M480" s="3" t="n">
        <v>6661.4</v>
      </c>
      <c r="N480" s="4" t="n">
        <v>90.2885645</v>
      </c>
      <c r="O480" s="9" t="n">
        <f aca="false">$C$5-G480</f>
        <v>8</v>
      </c>
      <c r="P480" s="3" t="n">
        <f aca="false">H480/O480</f>
        <v>922.2375</v>
      </c>
      <c r="Q480" s="2" t="str">
        <f aca="false">IF(G480&lt;2010,"Legacy (pre-2010)",IF(G480&lt;=2017,"Established (2010-2017)","Emerging (2018+)"))</f>
        <v>Emerging (2018+)</v>
      </c>
    </row>
    <row r="481" customFormat="false" ht="15" hidden="false" customHeight="false" outlineLevel="0" collapsed="false">
      <c r="A481" s="2" t="s">
        <v>566</v>
      </c>
      <c r="B481" s="2" t="s">
        <v>15</v>
      </c>
      <c r="C481" s="2" t="s">
        <v>34</v>
      </c>
      <c r="D481" s="2" t="s">
        <v>17</v>
      </c>
      <c r="E481" s="2" t="s">
        <v>23</v>
      </c>
      <c r="F481" s="2" t="s">
        <v>19</v>
      </c>
      <c r="G481" s="2" t="n">
        <v>2012</v>
      </c>
      <c r="H481" s="3" t="n">
        <v>7352.6</v>
      </c>
      <c r="I481" s="3" t="n">
        <v>3894</v>
      </c>
      <c r="J481" s="3" t="n">
        <v>3483.8</v>
      </c>
      <c r="K481" s="3" t="n">
        <v>6069.3</v>
      </c>
      <c r="L481" s="4" t="n">
        <v>82.54631015</v>
      </c>
      <c r="M481" s="3" t="n">
        <v>1283.3</v>
      </c>
      <c r="N481" s="4" t="n">
        <v>17.45368985</v>
      </c>
      <c r="O481" s="9" t="n">
        <f aca="false">$C$5-G481</f>
        <v>14</v>
      </c>
      <c r="P481" s="3" t="n">
        <f aca="false">H481/O481</f>
        <v>525.185714285714</v>
      </c>
      <c r="Q481" s="2" t="str">
        <f aca="false">IF(G481&lt;2010,"Legacy (pre-2010)",IF(G481&lt;=2017,"Established (2010-2017)","Emerging (2018+)"))</f>
        <v>Established (2010-2017)</v>
      </c>
    </row>
    <row r="482" customFormat="false" ht="15" hidden="false" customHeight="false" outlineLevel="0" collapsed="false">
      <c r="A482" s="2" t="s">
        <v>567</v>
      </c>
      <c r="B482" s="2" t="s">
        <v>79</v>
      </c>
      <c r="C482" s="2" t="s">
        <v>22</v>
      </c>
      <c r="D482" s="2" t="s">
        <v>17</v>
      </c>
      <c r="E482" s="2" t="s">
        <v>18</v>
      </c>
      <c r="F482" s="2" t="s">
        <v>49</v>
      </c>
      <c r="G482" s="2" t="n">
        <v>2009</v>
      </c>
      <c r="H482" s="3" t="n">
        <v>7347.9</v>
      </c>
      <c r="I482" s="3" t="n">
        <v>6711.8</v>
      </c>
      <c r="J482" s="3" t="n">
        <v>643.7</v>
      </c>
      <c r="K482" s="3" t="n">
        <v>114.9</v>
      </c>
      <c r="L482" s="4" t="n">
        <v>1.563712081</v>
      </c>
      <c r="M482" s="3" t="n">
        <v>7233</v>
      </c>
      <c r="N482" s="4" t="n">
        <v>98.43628792</v>
      </c>
      <c r="O482" s="9" t="n">
        <f aca="false">$C$5-G482</f>
        <v>17</v>
      </c>
      <c r="P482" s="3" t="n">
        <f aca="false">H482/O482</f>
        <v>432.229411764706</v>
      </c>
      <c r="Q482" s="2" t="str">
        <f aca="false">IF(G482&lt;2010,"Legacy (pre-2010)",IF(G482&lt;=2017,"Established (2010-2017)","Emerging (2018+)"))</f>
        <v>Legacy (pre-2010)</v>
      </c>
    </row>
    <row r="483" customFormat="false" ht="15" hidden="false" customHeight="false" outlineLevel="0" collapsed="false">
      <c r="A483" s="2" t="s">
        <v>568</v>
      </c>
      <c r="B483" s="2" t="s">
        <v>15</v>
      </c>
      <c r="C483" s="2" t="s">
        <v>22</v>
      </c>
      <c r="D483" s="2" t="s">
        <v>17</v>
      </c>
      <c r="E483" s="2" t="s">
        <v>99</v>
      </c>
      <c r="F483" s="2" t="s">
        <v>19</v>
      </c>
      <c r="G483" s="2" t="n">
        <v>2012</v>
      </c>
      <c r="H483" s="3" t="n">
        <v>7337.5</v>
      </c>
      <c r="I483" s="3" t="n">
        <v>3928</v>
      </c>
      <c r="J483" s="3" t="n">
        <v>3422.3</v>
      </c>
      <c r="K483" s="3" t="n">
        <v>5340.9</v>
      </c>
      <c r="L483" s="4" t="n">
        <v>72.7890971</v>
      </c>
      <c r="M483" s="3" t="n">
        <v>1996.6</v>
      </c>
      <c r="N483" s="4" t="n">
        <v>27.2109029</v>
      </c>
      <c r="O483" s="9" t="n">
        <f aca="false">$C$5-G483</f>
        <v>14</v>
      </c>
      <c r="P483" s="3" t="n">
        <f aca="false">H483/O483</f>
        <v>524.107142857143</v>
      </c>
      <c r="Q483" s="2" t="str">
        <f aca="false">IF(G483&lt;2010,"Legacy (pre-2010)",IF(G483&lt;=2017,"Established (2010-2017)","Emerging (2018+)"))</f>
        <v>Established (2010-2017)</v>
      </c>
    </row>
    <row r="484" customFormat="false" ht="15" hidden="false" customHeight="false" outlineLevel="0" collapsed="false">
      <c r="A484" s="2" t="s">
        <v>569</v>
      </c>
      <c r="B484" s="2" t="s">
        <v>21</v>
      </c>
      <c r="C484" s="2" t="s">
        <v>570</v>
      </c>
      <c r="D484" s="2" t="s">
        <v>17</v>
      </c>
      <c r="E484" s="2" t="s">
        <v>23</v>
      </c>
      <c r="F484" s="2" t="s">
        <v>19</v>
      </c>
      <c r="G484" s="2" t="n">
        <v>2006</v>
      </c>
      <c r="H484" s="3" t="n">
        <v>7335.2</v>
      </c>
      <c r="I484" s="3" t="n">
        <v>6735.6</v>
      </c>
      <c r="J484" s="3" t="n">
        <v>602</v>
      </c>
      <c r="K484" s="3" t="n">
        <v>1341.8</v>
      </c>
      <c r="L484" s="4" t="n">
        <v>18.29261642</v>
      </c>
      <c r="M484" s="3" t="n">
        <v>5993.4</v>
      </c>
      <c r="N484" s="4" t="n">
        <v>81.70738358</v>
      </c>
      <c r="O484" s="9" t="n">
        <f aca="false">$C$5-G484</f>
        <v>20</v>
      </c>
      <c r="P484" s="3" t="n">
        <f aca="false">H484/O484</f>
        <v>366.76</v>
      </c>
      <c r="Q484" s="2" t="str">
        <f aca="false">IF(G484&lt;2010,"Legacy (pre-2010)",IF(G484&lt;=2017,"Established (2010-2017)","Emerging (2018+)"))</f>
        <v>Legacy (pre-2010)</v>
      </c>
    </row>
    <row r="485" customFormat="false" ht="15" hidden="false" customHeight="false" outlineLevel="0" collapsed="false">
      <c r="A485" s="2" t="s">
        <v>571</v>
      </c>
      <c r="B485" s="2" t="s">
        <v>15</v>
      </c>
      <c r="C485" s="2" t="s">
        <v>22</v>
      </c>
      <c r="D485" s="2" t="s">
        <v>17</v>
      </c>
      <c r="E485" s="2" t="s">
        <v>292</v>
      </c>
      <c r="F485" s="2" t="s">
        <v>49</v>
      </c>
      <c r="G485" s="2" t="n">
        <v>2007</v>
      </c>
      <c r="H485" s="3" t="n">
        <v>7326.6</v>
      </c>
      <c r="I485" s="3" t="n">
        <v>1671.1</v>
      </c>
      <c r="J485" s="3" t="n">
        <v>5664.1</v>
      </c>
      <c r="K485" s="3" t="n">
        <v>6816.6</v>
      </c>
      <c r="L485" s="4" t="n">
        <v>93.03906314</v>
      </c>
      <c r="M485" s="3" t="n">
        <v>510</v>
      </c>
      <c r="N485" s="4" t="n">
        <v>6.96093686</v>
      </c>
      <c r="O485" s="9" t="n">
        <f aca="false">$C$5-G485</f>
        <v>19</v>
      </c>
      <c r="P485" s="3" t="n">
        <f aca="false">H485/O485</f>
        <v>385.61052631579</v>
      </c>
      <c r="Q485" s="2" t="str">
        <f aca="false">IF(G485&lt;2010,"Legacy (pre-2010)",IF(G485&lt;=2017,"Established (2010-2017)","Emerging (2018+)"))</f>
        <v>Legacy (pre-2010)</v>
      </c>
    </row>
    <row r="486" customFormat="false" ht="15" hidden="false" customHeight="false" outlineLevel="0" collapsed="false">
      <c r="A486" s="2" t="s">
        <v>572</v>
      </c>
      <c r="B486" s="2" t="s">
        <v>15</v>
      </c>
      <c r="C486" s="2" t="s">
        <v>22</v>
      </c>
      <c r="D486" s="2" t="s">
        <v>17</v>
      </c>
      <c r="E486" s="2" t="s">
        <v>99</v>
      </c>
      <c r="F486" s="2" t="s">
        <v>19</v>
      </c>
      <c r="G486" s="2" t="n">
        <v>2014</v>
      </c>
      <c r="H486" s="3" t="n">
        <v>7313.2</v>
      </c>
      <c r="I486" s="3" t="n">
        <v>7318.3</v>
      </c>
      <c r="J486" s="3" t="n">
        <v>8.3</v>
      </c>
      <c r="K486" s="3" t="n">
        <v>2901.6</v>
      </c>
      <c r="L486" s="4" t="n">
        <v>39.67620194</v>
      </c>
      <c r="M486" s="3" t="n">
        <v>4411.6</v>
      </c>
      <c r="N486" s="4" t="n">
        <v>60.32379806</v>
      </c>
      <c r="O486" s="9" t="n">
        <f aca="false">$C$5-G486</f>
        <v>12</v>
      </c>
      <c r="P486" s="3" t="n">
        <f aca="false">H486/O486</f>
        <v>609.433333333333</v>
      </c>
      <c r="Q486" s="2" t="str">
        <f aca="false">IF(G486&lt;2010,"Legacy (pre-2010)",IF(G486&lt;=2017,"Established (2010-2017)","Emerging (2018+)"))</f>
        <v>Established (2010-2017)</v>
      </c>
    </row>
    <row r="487" customFormat="false" ht="15" hidden="false" customHeight="false" outlineLevel="0" collapsed="false">
      <c r="A487" s="2" t="s">
        <v>573</v>
      </c>
      <c r="B487" s="2" t="s">
        <v>21</v>
      </c>
      <c r="C487" s="2" t="s">
        <v>574</v>
      </c>
      <c r="D487" s="2" t="s">
        <v>17</v>
      </c>
      <c r="E487" s="2" t="s">
        <v>23</v>
      </c>
      <c r="F487" s="2" t="s">
        <v>19</v>
      </c>
      <c r="G487" s="2" t="n">
        <v>2020</v>
      </c>
      <c r="H487" s="3" t="n">
        <v>7286.8</v>
      </c>
      <c r="I487" s="3" t="n">
        <v>4703.7</v>
      </c>
      <c r="J487" s="3" t="n">
        <v>2609.5</v>
      </c>
      <c r="K487" s="3" t="n">
        <v>6083.2</v>
      </c>
      <c r="L487" s="4" t="n">
        <v>83.48246144</v>
      </c>
      <c r="M487" s="3" t="n">
        <v>1203.6</v>
      </c>
      <c r="N487" s="4" t="n">
        <v>16.51753856</v>
      </c>
      <c r="O487" s="9" t="n">
        <f aca="false">$C$5-G487</f>
        <v>6</v>
      </c>
      <c r="P487" s="3" t="n">
        <f aca="false">H487/O487</f>
        <v>1214.46666666667</v>
      </c>
      <c r="Q487" s="2" t="str">
        <f aca="false">IF(G487&lt;2010,"Legacy (pre-2010)",IF(G487&lt;=2017,"Established (2010-2017)","Emerging (2018+)"))</f>
        <v>Emerging (2018+)</v>
      </c>
    </row>
    <row r="488" customFormat="false" ht="15" hidden="false" customHeight="false" outlineLevel="0" collapsed="false">
      <c r="A488" s="2" t="s">
        <v>575</v>
      </c>
      <c r="B488" s="2" t="s">
        <v>15</v>
      </c>
      <c r="C488" s="2" t="s">
        <v>167</v>
      </c>
      <c r="D488" s="2" t="s">
        <v>168</v>
      </c>
      <c r="E488" s="2" t="s">
        <v>83</v>
      </c>
      <c r="F488" s="2" t="s">
        <v>49</v>
      </c>
      <c r="G488" s="2" t="n">
        <v>2016</v>
      </c>
      <c r="H488" s="3" t="n">
        <v>7277.6</v>
      </c>
      <c r="I488" s="3" t="n">
        <v>6836.9</v>
      </c>
      <c r="J488" s="3" t="n">
        <v>455.9</v>
      </c>
      <c r="K488" s="3" t="n">
        <v>3003</v>
      </c>
      <c r="L488" s="4" t="n">
        <v>41.26360339</v>
      </c>
      <c r="M488" s="3" t="n">
        <v>4274.6</v>
      </c>
      <c r="N488" s="4" t="n">
        <v>58.73639661</v>
      </c>
      <c r="O488" s="9" t="n">
        <f aca="false">$C$5-G488</f>
        <v>10</v>
      </c>
      <c r="P488" s="3" t="n">
        <f aca="false">H488/O488</f>
        <v>727.76</v>
      </c>
      <c r="Q488" s="2" t="str">
        <f aca="false">IF(G488&lt;2010,"Legacy (pre-2010)",IF(G488&lt;=2017,"Established (2010-2017)","Emerging (2018+)"))</f>
        <v>Established (2010-2017)</v>
      </c>
    </row>
    <row r="489" customFormat="false" ht="15" hidden="false" customHeight="false" outlineLevel="0" collapsed="false">
      <c r="A489" s="2" t="s">
        <v>576</v>
      </c>
      <c r="B489" s="2" t="s">
        <v>21</v>
      </c>
      <c r="C489" s="2" t="s">
        <v>223</v>
      </c>
      <c r="D489" s="2" t="s">
        <v>25</v>
      </c>
      <c r="E489" s="2" t="s">
        <v>83</v>
      </c>
      <c r="F489" s="2" t="s">
        <v>19</v>
      </c>
      <c r="G489" s="2" t="n">
        <v>2019</v>
      </c>
      <c r="H489" s="3" t="n">
        <v>7256.2</v>
      </c>
      <c r="I489" s="3" t="n">
        <v>2470.4</v>
      </c>
      <c r="J489" s="3" t="n">
        <v>4785.8</v>
      </c>
      <c r="K489" s="3" t="n">
        <v>976.1</v>
      </c>
      <c r="L489" s="4" t="n">
        <v>13.45194454</v>
      </c>
      <c r="M489" s="3" t="n">
        <v>6280.1</v>
      </c>
      <c r="N489" s="4" t="n">
        <v>86.54805546</v>
      </c>
      <c r="O489" s="9" t="n">
        <f aca="false">$C$5-G489</f>
        <v>7</v>
      </c>
      <c r="P489" s="3" t="n">
        <f aca="false">H489/O489</f>
        <v>1036.6</v>
      </c>
      <c r="Q489" s="2" t="str">
        <f aca="false">IF(G489&lt;2010,"Legacy (pre-2010)",IF(G489&lt;=2017,"Established (2010-2017)","Emerging (2018+)"))</f>
        <v>Emerging (2018+)</v>
      </c>
    </row>
    <row r="490" customFormat="false" ht="15" hidden="false" customHeight="false" outlineLevel="0" collapsed="false">
      <c r="A490" s="2" t="s">
        <v>577</v>
      </c>
      <c r="B490" s="2" t="s">
        <v>15</v>
      </c>
      <c r="C490" s="2" t="s">
        <v>22</v>
      </c>
      <c r="D490" s="2" t="s">
        <v>17</v>
      </c>
      <c r="E490" s="2" t="s">
        <v>18</v>
      </c>
      <c r="F490" s="2" t="s">
        <v>19</v>
      </c>
      <c r="G490" s="2" t="n">
        <v>2012</v>
      </c>
      <c r="H490" s="3" t="n">
        <v>7252.1</v>
      </c>
      <c r="I490" s="3" t="n">
        <v>4583.7</v>
      </c>
      <c r="J490" s="3" t="n">
        <v>2668.4</v>
      </c>
      <c r="K490" s="3" t="n">
        <v>2499</v>
      </c>
      <c r="L490" s="4" t="n">
        <v>34.45898429</v>
      </c>
      <c r="M490" s="3" t="n">
        <v>4753.1</v>
      </c>
      <c r="N490" s="4" t="n">
        <v>65.54101571</v>
      </c>
      <c r="O490" s="9" t="n">
        <f aca="false">$C$5-G490</f>
        <v>14</v>
      </c>
      <c r="P490" s="3" t="n">
        <f aca="false">H490/O490</f>
        <v>518.007142857143</v>
      </c>
      <c r="Q490" s="2" t="str">
        <f aca="false">IF(G490&lt;2010,"Legacy (pre-2010)",IF(G490&lt;=2017,"Established (2010-2017)","Emerging (2018+)"))</f>
        <v>Established (2010-2017)</v>
      </c>
    </row>
    <row r="491" customFormat="false" ht="15" hidden="false" customHeight="false" outlineLevel="0" collapsed="false">
      <c r="A491" s="2" t="s">
        <v>578</v>
      </c>
      <c r="B491" s="2" t="s">
        <v>21</v>
      </c>
      <c r="C491" s="2" t="s">
        <v>408</v>
      </c>
      <c r="D491" s="2" t="s">
        <v>409</v>
      </c>
      <c r="E491" s="2" t="s">
        <v>23</v>
      </c>
      <c r="F491" s="2" t="s">
        <v>19</v>
      </c>
      <c r="G491" s="2" t="n">
        <v>1997</v>
      </c>
      <c r="H491" s="3" t="n">
        <v>7239.7</v>
      </c>
      <c r="I491" s="3" t="n">
        <v>0</v>
      </c>
      <c r="J491" s="3" t="n">
        <v>7239.7</v>
      </c>
      <c r="K491" s="3" t="n">
        <v>0</v>
      </c>
      <c r="L491" s="4" t="n">
        <v>0</v>
      </c>
      <c r="M491" s="3" t="n">
        <v>7239.7</v>
      </c>
      <c r="N491" s="4" t="n">
        <v>100</v>
      </c>
      <c r="O491" s="9" t="n">
        <f aca="false">$C$5-G491</f>
        <v>29</v>
      </c>
      <c r="P491" s="3" t="n">
        <f aca="false">H491/O491</f>
        <v>249.644827586207</v>
      </c>
      <c r="Q491" s="2" t="str">
        <f aca="false">IF(G491&lt;2010,"Legacy (pre-2010)",IF(G491&lt;=2017,"Established (2010-2017)","Emerging (2018+)"))</f>
        <v>Legacy (pre-2010)</v>
      </c>
    </row>
    <row r="492" customFormat="false" ht="15" hidden="false" customHeight="false" outlineLevel="0" collapsed="false">
      <c r="A492" s="2" t="s">
        <v>579</v>
      </c>
      <c r="B492" s="2" t="s">
        <v>15</v>
      </c>
      <c r="C492" s="2" t="s">
        <v>22</v>
      </c>
      <c r="D492" s="2" t="s">
        <v>17</v>
      </c>
      <c r="E492" s="2" t="s">
        <v>18</v>
      </c>
      <c r="F492" s="2" t="s">
        <v>19</v>
      </c>
      <c r="G492" s="2" t="n">
        <v>2008</v>
      </c>
      <c r="H492" s="3" t="n">
        <v>7237.6</v>
      </c>
      <c r="I492" s="3" t="n">
        <v>0</v>
      </c>
      <c r="J492" s="3" t="n">
        <v>7237.6</v>
      </c>
      <c r="K492" s="3" t="n">
        <v>0</v>
      </c>
      <c r="L492" s="4" t="n">
        <v>0</v>
      </c>
      <c r="M492" s="3" t="n">
        <v>7237.6</v>
      </c>
      <c r="N492" s="4" t="n">
        <v>100</v>
      </c>
      <c r="O492" s="9" t="n">
        <f aca="false">$C$5-G492</f>
        <v>18</v>
      </c>
      <c r="P492" s="3" t="n">
        <f aca="false">H492/O492</f>
        <v>402.088888888889</v>
      </c>
      <c r="Q492" s="2" t="str">
        <f aca="false">IF(G492&lt;2010,"Legacy (pre-2010)",IF(G492&lt;=2017,"Established (2010-2017)","Emerging (2018+)"))</f>
        <v>Legacy (pre-2010)</v>
      </c>
    </row>
    <row r="493" customFormat="false" ht="15" hidden="false" customHeight="false" outlineLevel="0" collapsed="false">
      <c r="A493" s="2" t="s">
        <v>580</v>
      </c>
      <c r="B493" s="2" t="s">
        <v>15</v>
      </c>
      <c r="C493" s="2" t="s">
        <v>243</v>
      </c>
      <c r="D493" s="2" t="s">
        <v>25</v>
      </c>
      <c r="E493" s="2" t="s">
        <v>18</v>
      </c>
      <c r="F493" s="2" t="s">
        <v>19</v>
      </c>
      <c r="G493" s="2" t="n">
        <v>2018</v>
      </c>
      <c r="H493" s="3" t="n">
        <v>7209.6</v>
      </c>
      <c r="I493" s="3" t="n">
        <v>3303.8</v>
      </c>
      <c r="J493" s="3" t="n">
        <v>3905.7</v>
      </c>
      <c r="K493" s="3" t="n">
        <v>2183.8</v>
      </c>
      <c r="L493" s="4" t="n">
        <v>30.29016866</v>
      </c>
      <c r="M493" s="3" t="n">
        <v>5025.8</v>
      </c>
      <c r="N493" s="4" t="n">
        <v>69.70983134</v>
      </c>
      <c r="O493" s="9" t="n">
        <f aca="false">$C$5-G493</f>
        <v>8</v>
      </c>
      <c r="P493" s="3" t="n">
        <f aca="false">H493/O493</f>
        <v>901.2</v>
      </c>
      <c r="Q493" s="2" t="str">
        <f aca="false">IF(G493&lt;2010,"Legacy (pre-2010)",IF(G493&lt;=2017,"Established (2010-2017)","Emerging (2018+)"))</f>
        <v>Emerging (2018+)</v>
      </c>
    </row>
    <row r="494" customFormat="false" ht="15" hidden="false" customHeight="false" outlineLevel="0" collapsed="false">
      <c r="A494" s="2" t="s">
        <v>581</v>
      </c>
      <c r="B494" s="2" t="s">
        <v>15</v>
      </c>
      <c r="C494" s="2" t="s">
        <v>34</v>
      </c>
      <c r="D494" s="2" t="s">
        <v>17</v>
      </c>
      <c r="E494" s="2" t="s">
        <v>23</v>
      </c>
      <c r="F494" s="2" t="s">
        <v>19</v>
      </c>
      <c r="G494" s="2" t="n">
        <v>2016</v>
      </c>
      <c r="H494" s="3" t="n">
        <v>7192.6</v>
      </c>
      <c r="I494" s="3" t="n">
        <v>4689.2</v>
      </c>
      <c r="J494" s="3" t="n">
        <v>2505.3</v>
      </c>
      <c r="K494" s="3" t="n">
        <v>3982.2</v>
      </c>
      <c r="L494" s="4" t="n">
        <v>55.36523649</v>
      </c>
      <c r="M494" s="3" t="n">
        <v>3210.4</v>
      </c>
      <c r="N494" s="4" t="n">
        <v>44.63476351</v>
      </c>
      <c r="O494" s="9" t="n">
        <f aca="false">$C$5-G494</f>
        <v>10</v>
      </c>
      <c r="P494" s="3" t="n">
        <f aca="false">H494/O494</f>
        <v>719.26</v>
      </c>
      <c r="Q494" s="2" t="str">
        <f aca="false">IF(G494&lt;2010,"Legacy (pre-2010)",IF(G494&lt;=2017,"Established (2010-2017)","Emerging (2018+)"))</f>
        <v>Established (2010-2017)</v>
      </c>
    </row>
    <row r="495" customFormat="false" ht="15" hidden="false" customHeight="false" outlineLevel="0" collapsed="false">
      <c r="A495" s="2" t="s">
        <v>582</v>
      </c>
      <c r="B495" s="2" t="s">
        <v>15</v>
      </c>
      <c r="C495" s="2" t="s">
        <v>46</v>
      </c>
      <c r="D495" s="2" t="s">
        <v>47</v>
      </c>
      <c r="E495" s="2" t="s">
        <v>48</v>
      </c>
      <c r="F495" s="2" t="s">
        <v>49</v>
      </c>
      <c r="G495" s="2" t="n">
        <v>2019</v>
      </c>
      <c r="H495" s="3" t="n">
        <v>7182.1</v>
      </c>
      <c r="I495" s="3" t="n">
        <v>6877.5</v>
      </c>
      <c r="J495" s="3" t="n">
        <v>304.7</v>
      </c>
      <c r="K495" s="3" t="n">
        <v>6118.4</v>
      </c>
      <c r="L495" s="4" t="n">
        <v>85.18956851</v>
      </c>
      <c r="M495" s="3" t="n">
        <v>1063.7</v>
      </c>
      <c r="N495" s="4" t="n">
        <v>14.81043149</v>
      </c>
      <c r="O495" s="9" t="n">
        <f aca="false">$C$5-G495</f>
        <v>7</v>
      </c>
      <c r="P495" s="3" t="n">
        <f aca="false">H495/O495</f>
        <v>1026.01428571429</v>
      </c>
      <c r="Q495" s="2" t="str">
        <f aca="false">IF(G495&lt;2010,"Legacy (pre-2010)",IF(G495&lt;=2017,"Established (2010-2017)","Emerging (2018+)"))</f>
        <v>Emerging (2018+)</v>
      </c>
    </row>
    <row r="496" customFormat="false" ht="15" hidden="false" customHeight="false" outlineLevel="0" collapsed="false">
      <c r="A496" s="2" t="s">
        <v>583</v>
      </c>
      <c r="B496" s="2" t="s">
        <v>15</v>
      </c>
      <c r="C496" s="2" t="s">
        <v>90</v>
      </c>
      <c r="D496" s="2" t="s">
        <v>25</v>
      </c>
      <c r="E496" s="2" t="s">
        <v>91</v>
      </c>
      <c r="F496" s="2" t="s">
        <v>49</v>
      </c>
      <c r="G496" s="2" t="n">
        <v>2015</v>
      </c>
      <c r="H496" s="3" t="n">
        <v>7123.4</v>
      </c>
      <c r="I496" s="3" t="n">
        <v>5595.9</v>
      </c>
      <c r="J496" s="3" t="n">
        <v>1527.5</v>
      </c>
      <c r="K496" s="3" t="n">
        <v>3002</v>
      </c>
      <c r="L496" s="4" t="n">
        <v>42.14279698</v>
      </c>
      <c r="M496" s="3" t="n">
        <v>4121.4</v>
      </c>
      <c r="N496" s="4" t="n">
        <v>57.85720302</v>
      </c>
      <c r="O496" s="9" t="n">
        <f aca="false">$C$5-G496</f>
        <v>11</v>
      </c>
      <c r="P496" s="3" t="n">
        <f aca="false">H496/O496</f>
        <v>647.581818181818</v>
      </c>
      <c r="Q496" s="2" t="str">
        <f aca="false">IF(G496&lt;2010,"Legacy (pre-2010)",IF(G496&lt;=2017,"Established (2010-2017)","Emerging (2018+)"))</f>
        <v>Established (2010-2017)</v>
      </c>
    </row>
    <row r="497" customFormat="false" ht="15" hidden="false" customHeight="false" outlineLevel="0" collapsed="false">
      <c r="A497" s="2" t="s">
        <v>584</v>
      </c>
      <c r="B497" s="2" t="s">
        <v>15</v>
      </c>
      <c r="C497" s="2" t="s">
        <v>22</v>
      </c>
      <c r="D497" s="2" t="s">
        <v>17</v>
      </c>
      <c r="E497" s="2" t="s">
        <v>23</v>
      </c>
      <c r="F497" s="2" t="s">
        <v>19</v>
      </c>
      <c r="G497" s="2" t="n">
        <v>2007</v>
      </c>
      <c r="H497" s="3" t="n">
        <v>7114.1</v>
      </c>
      <c r="I497" s="3" t="n">
        <v>4400.3</v>
      </c>
      <c r="J497" s="3" t="n">
        <v>2716</v>
      </c>
      <c r="K497" s="3" t="n">
        <v>3.9</v>
      </c>
      <c r="L497" s="4" t="n">
        <v>0.05482070817</v>
      </c>
      <c r="M497" s="3" t="n">
        <v>7110.2</v>
      </c>
      <c r="N497" s="4" t="n">
        <v>99.94517929</v>
      </c>
      <c r="O497" s="9" t="n">
        <f aca="false">$C$5-G497</f>
        <v>19</v>
      </c>
      <c r="P497" s="3" t="n">
        <f aca="false">H497/O497</f>
        <v>374.426315789474</v>
      </c>
      <c r="Q497" s="2" t="str">
        <f aca="false">IF(G497&lt;2010,"Legacy (pre-2010)",IF(G497&lt;=2017,"Established (2010-2017)","Emerging (2018+)"))</f>
        <v>Legacy (pre-2010)</v>
      </c>
    </row>
    <row r="498" customFormat="false" ht="15" hidden="false" customHeight="false" outlineLevel="0" collapsed="false">
      <c r="A498" s="2" t="s">
        <v>585</v>
      </c>
      <c r="B498" s="2" t="s">
        <v>15</v>
      </c>
      <c r="C498" s="2" t="s">
        <v>22</v>
      </c>
      <c r="D498" s="2" t="s">
        <v>17</v>
      </c>
      <c r="E498" s="2" t="s">
        <v>18</v>
      </c>
      <c r="F498" s="2" t="s">
        <v>19</v>
      </c>
      <c r="G498" s="2" t="n">
        <v>2010</v>
      </c>
      <c r="H498" s="3" t="n">
        <v>7073.7</v>
      </c>
      <c r="I498" s="3" t="n">
        <v>2882.3</v>
      </c>
      <c r="J498" s="3" t="n">
        <v>4191.4</v>
      </c>
      <c r="K498" s="3" t="n">
        <v>1158.3</v>
      </c>
      <c r="L498" s="4" t="n">
        <v>16.37474023</v>
      </c>
      <c r="M498" s="3" t="n">
        <v>5915.4</v>
      </c>
      <c r="N498" s="4" t="n">
        <v>83.62525977</v>
      </c>
      <c r="O498" s="9" t="n">
        <f aca="false">$C$5-G498</f>
        <v>16</v>
      </c>
      <c r="P498" s="3" t="n">
        <f aca="false">H498/O498</f>
        <v>442.10625</v>
      </c>
      <c r="Q498" s="2" t="str">
        <f aca="false">IF(G498&lt;2010,"Legacy (pre-2010)",IF(G498&lt;=2017,"Established (2010-2017)","Emerging (2018+)"))</f>
        <v>Established (2010-2017)</v>
      </c>
    </row>
    <row r="499" customFormat="false" ht="15" hidden="false" customHeight="false" outlineLevel="0" collapsed="false">
      <c r="A499" s="2" t="s">
        <v>586</v>
      </c>
      <c r="B499" s="2" t="s">
        <v>15</v>
      </c>
      <c r="C499" s="2" t="s">
        <v>22</v>
      </c>
      <c r="D499" s="2" t="s">
        <v>17</v>
      </c>
      <c r="E499" s="2" t="s">
        <v>18</v>
      </c>
      <c r="F499" s="2" t="s">
        <v>19</v>
      </c>
      <c r="G499" s="2" t="n">
        <v>2017</v>
      </c>
      <c r="H499" s="3" t="n">
        <v>7061.3</v>
      </c>
      <c r="I499" s="3" t="n">
        <v>7067.3</v>
      </c>
      <c r="J499" s="3" t="n">
        <v>0</v>
      </c>
      <c r="K499" s="3" t="n">
        <v>4346.8</v>
      </c>
      <c r="L499" s="4" t="n">
        <v>61.55807004</v>
      </c>
      <c r="M499" s="3" t="n">
        <v>2714.5</v>
      </c>
      <c r="N499" s="4" t="n">
        <v>38.44192996</v>
      </c>
      <c r="O499" s="9" t="n">
        <f aca="false">$C$5-G499</f>
        <v>9</v>
      </c>
      <c r="P499" s="3" t="n">
        <f aca="false">H499/O499</f>
        <v>784.588888888889</v>
      </c>
      <c r="Q499" s="2" t="str">
        <f aca="false">IF(G499&lt;2010,"Legacy (pre-2010)",IF(G499&lt;=2017,"Established (2010-2017)","Emerging (2018+)"))</f>
        <v>Established (2010-2017)</v>
      </c>
    </row>
    <row r="500" customFormat="false" ht="15" hidden="false" customHeight="false" outlineLevel="0" collapsed="false">
      <c r="A500" s="2" t="s">
        <v>587</v>
      </c>
      <c r="B500" s="2" t="s">
        <v>15</v>
      </c>
      <c r="C500" s="2" t="s">
        <v>90</v>
      </c>
      <c r="D500" s="2" t="s">
        <v>25</v>
      </c>
      <c r="E500" s="2" t="s">
        <v>83</v>
      </c>
      <c r="F500" s="2" t="s">
        <v>19</v>
      </c>
      <c r="G500" s="2" t="n">
        <v>1971</v>
      </c>
      <c r="H500" s="3" t="n">
        <v>7059.2</v>
      </c>
      <c r="I500" s="3" t="n">
        <v>6505.8</v>
      </c>
      <c r="J500" s="3" t="n">
        <v>557.1</v>
      </c>
      <c r="K500" s="3" t="n">
        <v>5676.3</v>
      </c>
      <c r="L500" s="4" t="n">
        <v>80.40996147</v>
      </c>
      <c r="M500" s="3" t="n">
        <v>1382.9</v>
      </c>
      <c r="N500" s="4" t="n">
        <v>19.59003853</v>
      </c>
      <c r="O500" s="9" t="n">
        <f aca="false">$C$5-G500</f>
        <v>55</v>
      </c>
      <c r="P500" s="3" t="n">
        <f aca="false">H500/O500</f>
        <v>128.349090909091</v>
      </c>
      <c r="Q500" s="2" t="str">
        <f aca="false">IF(G500&lt;2010,"Legacy (pre-2010)",IF(G500&lt;=2017,"Established (2010-2017)","Emerging (2018+)"))</f>
        <v>Legacy (pre-2010)</v>
      </c>
    </row>
    <row r="501" customFormat="false" ht="15" hidden="false" customHeight="false" outlineLevel="0" collapsed="false">
      <c r="A501" s="2" t="s">
        <v>588</v>
      </c>
      <c r="B501" s="2" t="s">
        <v>15</v>
      </c>
      <c r="C501" s="2" t="s">
        <v>90</v>
      </c>
      <c r="D501" s="2" t="s">
        <v>25</v>
      </c>
      <c r="E501" s="2" t="s">
        <v>83</v>
      </c>
      <c r="F501" s="2" t="s">
        <v>49</v>
      </c>
      <c r="G501" s="2" t="n">
        <v>1977</v>
      </c>
      <c r="H501" s="3" t="n">
        <v>7059.2</v>
      </c>
      <c r="I501" s="3" t="n">
        <v>6607.2</v>
      </c>
      <c r="J501" s="3" t="n">
        <v>446.9</v>
      </c>
      <c r="K501" s="3" t="n">
        <v>7059.2</v>
      </c>
      <c r="L501" s="4" t="n">
        <v>100</v>
      </c>
      <c r="M501" s="3" t="n">
        <v>0</v>
      </c>
      <c r="N501" s="4" t="n">
        <v>0</v>
      </c>
      <c r="O501" s="9" t="n">
        <f aca="false">$C$5-G501</f>
        <v>49</v>
      </c>
      <c r="P501" s="3" t="n">
        <f aca="false">H501/O501</f>
        <v>144.065306122449</v>
      </c>
      <c r="Q501" s="2" t="str">
        <f aca="false">IF(G501&lt;2010,"Legacy (pre-2010)",IF(G501&lt;=2017,"Established (2010-2017)","Emerging (2018+)"))</f>
        <v>Legacy (pre-2010)</v>
      </c>
    </row>
    <row r="502" customFormat="false" ht="15" hidden="false" customHeight="false" outlineLevel="0" collapsed="false">
      <c r="A502" s="2" t="s">
        <v>589</v>
      </c>
      <c r="B502" s="2" t="s">
        <v>15</v>
      </c>
      <c r="C502" s="2" t="s">
        <v>22</v>
      </c>
      <c r="D502" s="2" t="s">
        <v>17</v>
      </c>
      <c r="E502" s="2" t="s">
        <v>23</v>
      </c>
      <c r="F502" s="2" t="s">
        <v>19</v>
      </c>
      <c r="G502" s="2" t="n">
        <v>2002</v>
      </c>
      <c r="H502" s="3" t="n">
        <v>7048.5</v>
      </c>
      <c r="I502" s="3" t="n">
        <v>6851.4</v>
      </c>
      <c r="J502" s="3" t="n">
        <v>199.1</v>
      </c>
      <c r="K502" s="3" t="n">
        <v>5805</v>
      </c>
      <c r="L502" s="4" t="n">
        <v>82.3579485</v>
      </c>
      <c r="M502" s="3" t="n">
        <v>1243.5</v>
      </c>
      <c r="N502" s="4" t="n">
        <v>17.6420515</v>
      </c>
      <c r="O502" s="9" t="n">
        <f aca="false">$C$5-G502</f>
        <v>24</v>
      </c>
      <c r="P502" s="3" t="n">
        <f aca="false">H502/O502</f>
        <v>293.6875</v>
      </c>
      <c r="Q502" s="2" t="str">
        <f aca="false">IF(G502&lt;2010,"Legacy (pre-2010)",IF(G502&lt;=2017,"Established (2010-2017)","Emerging (2018+)"))</f>
        <v>Legacy (pre-2010)</v>
      </c>
    </row>
    <row r="503" customFormat="false" ht="15" hidden="false" customHeight="false" outlineLevel="0" collapsed="false">
      <c r="A503" s="2" t="s">
        <v>590</v>
      </c>
      <c r="B503" s="2" t="s">
        <v>15</v>
      </c>
      <c r="C503" s="2" t="s">
        <v>34</v>
      </c>
      <c r="D503" s="2" t="s">
        <v>17</v>
      </c>
      <c r="E503" s="2" t="s">
        <v>52</v>
      </c>
      <c r="F503" s="2" t="s">
        <v>49</v>
      </c>
      <c r="G503" s="2" t="n">
        <v>1979</v>
      </c>
      <c r="H503" s="3" t="n">
        <v>7034.1</v>
      </c>
      <c r="I503" s="3" t="n">
        <v>7035</v>
      </c>
      <c r="J503" s="3" t="n">
        <v>3.3</v>
      </c>
      <c r="K503" s="3" t="n">
        <v>6940.1</v>
      </c>
      <c r="L503" s="4" t="n">
        <v>98.66365278</v>
      </c>
      <c r="M503" s="3" t="n">
        <v>94</v>
      </c>
      <c r="N503" s="4" t="n">
        <v>1.336347223</v>
      </c>
      <c r="O503" s="9" t="n">
        <f aca="false">$C$5-G503</f>
        <v>47</v>
      </c>
      <c r="P503" s="3" t="n">
        <f aca="false">H503/O503</f>
        <v>149.66170212766</v>
      </c>
      <c r="Q503" s="2" t="str">
        <f aca="false">IF(G503&lt;2010,"Legacy (pre-2010)",IF(G503&lt;=2017,"Established (2010-2017)","Emerging (2018+)"))</f>
        <v>Legacy (pre-2010)</v>
      </c>
    </row>
    <row r="504" customFormat="false" ht="15" hidden="false" customHeight="false" outlineLevel="0" collapsed="false">
      <c r="A504" s="2" t="s">
        <v>591</v>
      </c>
      <c r="B504" s="2" t="s">
        <v>79</v>
      </c>
      <c r="C504" s="2" t="s">
        <v>22</v>
      </c>
      <c r="D504" s="2" t="s">
        <v>17</v>
      </c>
      <c r="E504" s="2" t="s">
        <v>23</v>
      </c>
      <c r="F504" s="2" t="s">
        <v>49</v>
      </c>
      <c r="G504" s="2" t="n">
        <v>2017</v>
      </c>
      <c r="H504" s="3" t="n">
        <v>7029.1</v>
      </c>
      <c r="I504" s="3" t="n">
        <v>5774.4</v>
      </c>
      <c r="J504" s="3" t="n">
        <v>1261.4</v>
      </c>
      <c r="K504" s="3" t="n">
        <v>5705.9</v>
      </c>
      <c r="L504" s="4" t="n">
        <v>81.17539941</v>
      </c>
      <c r="M504" s="3" t="n">
        <v>1323.2</v>
      </c>
      <c r="N504" s="4" t="n">
        <v>18.82460059</v>
      </c>
      <c r="O504" s="9" t="n">
        <f aca="false">$C$5-G504</f>
        <v>9</v>
      </c>
      <c r="P504" s="3" t="n">
        <f aca="false">H504/O504</f>
        <v>781.011111111111</v>
      </c>
      <c r="Q504" s="2" t="str">
        <f aca="false">IF(G504&lt;2010,"Legacy (pre-2010)",IF(G504&lt;=2017,"Established (2010-2017)","Emerging (2018+)"))</f>
        <v>Established (2010-2017)</v>
      </c>
    </row>
    <row r="505" customFormat="false" ht="15" hidden="false" customHeight="false" outlineLevel="0" collapsed="false">
      <c r="A505" s="2" t="s">
        <v>592</v>
      </c>
      <c r="B505" s="2" t="s">
        <v>15</v>
      </c>
      <c r="C505" s="2" t="s">
        <v>22</v>
      </c>
      <c r="D505" s="2" t="s">
        <v>17</v>
      </c>
      <c r="E505" s="2" t="s">
        <v>593</v>
      </c>
      <c r="F505" s="2" t="s">
        <v>49</v>
      </c>
      <c r="G505" s="2" t="n">
        <v>1997</v>
      </c>
      <c r="H505" s="3" t="n">
        <v>7018.9</v>
      </c>
      <c r="I505" s="3" t="n">
        <v>7018.4</v>
      </c>
      <c r="J505" s="3" t="n">
        <v>5.4</v>
      </c>
      <c r="K505" s="3" t="n">
        <v>6806</v>
      </c>
      <c r="L505" s="4" t="n">
        <v>96.96676117</v>
      </c>
      <c r="M505" s="3" t="n">
        <v>212.9</v>
      </c>
      <c r="N505" s="4" t="n">
        <v>3.033238827</v>
      </c>
      <c r="O505" s="9" t="n">
        <f aca="false">$C$5-G505</f>
        <v>29</v>
      </c>
      <c r="P505" s="3" t="n">
        <f aca="false">H505/O505</f>
        <v>242.031034482759</v>
      </c>
      <c r="Q505" s="2" t="str">
        <f aca="false">IF(G505&lt;2010,"Legacy (pre-2010)",IF(G505&lt;=2017,"Established (2010-2017)","Emerging (2018+)"))</f>
        <v>Legacy (pre-2010)</v>
      </c>
    </row>
    <row r="506" customFormat="false" ht="15" hidden="false" customHeight="false" outlineLevel="0" collapsed="false">
      <c r="A506" s="2" t="s">
        <v>594</v>
      </c>
      <c r="B506" s="2" t="s">
        <v>15</v>
      </c>
      <c r="C506" s="2" t="s">
        <v>22</v>
      </c>
      <c r="D506" s="2" t="s">
        <v>17</v>
      </c>
      <c r="E506" s="2" t="s">
        <v>292</v>
      </c>
      <c r="F506" s="2" t="s">
        <v>49</v>
      </c>
      <c r="G506" s="2" t="n">
        <v>1994</v>
      </c>
      <c r="H506" s="3" t="n">
        <v>6976.4</v>
      </c>
      <c r="I506" s="3" t="n">
        <v>4188.4</v>
      </c>
      <c r="J506" s="3" t="n">
        <v>2798.5</v>
      </c>
      <c r="K506" s="3" t="n">
        <v>6414.9</v>
      </c>
      <c r="L506" s="4" t="n">
        <v>91.95143627</v>
      </c>
      <c r="M506" s="3" t="n">
        <v>561.5</v>
      </c>
      <c r="N506" s="4" t="n">
        <v>8.048563729</v>
      </c>
      <c r="O506" s="9" t="n">
        <f aca="false">$C$5-G506</f>
        <v>32</v>
      </c>
      <c r="P506" s="3" t="n">
        <f aca="false">H506/O506</f>
        <v>218.0125</v>
      </c>
      <c r="Q506" s="2" t="str">
        <f aca="false">IF(G506&lt;2010,"Legacy (pre-2010)",IF(G506&lt;=2017,"Established (2010-2017)","Emerging (2018+)"))</f>
        <v>Legacy (pre-2010)</v>
      </c>
    </row>
    <row r="507" customFormat="false" ht="15" hidden="false" customHeight="false" outlineLevel="0" collapsed="false">
      <c r="A507" s="2" t="s">
        <v>595</v>
      </c>
      <c r="B507" s="2" t="s">
        <v>15</v>
      </c>
      <c r="C507" s="2" t="s">
        <v>22</v>
      </c>
      <c r="D507" s="2" t="s">
        <v>25</v>
      </c>
      <c r="E507" s="2" t="s">
        <v>26</v>
      </c>
      <c r="F507" s="2" t="s">
        <v>19</v>
      </c>
      <c r="G507" s="2" t="n">
        <v>2017</v>
      </c>
      <c r="H507" s="3" t="n">
        <v>6972</v>
      </c>
      <c r="I507" s="3" t="n">
        <v>6956</v>
      </c>
      <c r="J507" s="3" t="n">
        <v>20.3</v>
      </c>
      <c r="K507" s="3" t="n">
        <v>1876.2</v>
      </c>
      <c r="L507" s="4" t="n">
        <v>26.91049914</v>
      </c>
      <c r="M507" s="3" t="n">
        <v>5095.8</v>
      </c>
      <c r="N507" s="4" t="n">
        <v>73.08950086</v>
      </c>
      <c r="O507" s="9" t="n">
        <f aca="false">$C$5-G507</f>
        <v>9</v>
      </c>
      <c r="P507" s="3" t="n">
        <f aca="false">H507/O507</f>
        <v>774.666666666667</v>
      </c>
      <c r="Q507" s="2" t="str">
        <f aca="false">IF(G507&lt;2010,"Legacy (pre-2010)",IF(G507&lt;=2017,"Established (2010-2017)","Emerging (2018+)"))</f>
        <v>Established (2010-2017)</v>
      </c>
    </row>
  </sheetData>
  <mergeCells count="2">
    <mergeCell ref="A1:F1"/>
    <mergeCell ref="A3: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5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5" t="s">
        <v>602</v>
      </c>
      <c r="B1" s="5"/>
      <c r="C1" s="5"/>
    </row>
    <row r="3" customFormat="false" ht="39.75" hidden="false" customHeight="true" outlineLevel="0" collapsed="false">
      <c r="A3" s="6" t="s">
        <v>603</v>
      </c>
      <c r="B3" s="6"/>
      <c r="C3" s="6"/>
    </row>
    <row r="5" customFormat="false" ht="15" hidden="false" customHeight="false" outlineLevel="0" collapsed="false">
      <c r="A5" s="1" t="s">
        <v>604</v>
      </c>
      <c r="B5" s="1" t="s">
        <v>605</v>
      </c>
      <c r="C5" s="1" t="s">
        <v>606</v>
      </c>
    </row>
    <row r="6" customFormat="false" ht="31.5" hidden="false" customHeight="true" outlineLevel="0" collapsed="false">
      <c r="A6" s="10" t="n">
        <v>1</v>
      </c>
      <c r="B6" s="11" t="s">
        <v>607</v>
      </c>
      <c r="C6" s="10" t="s">
        <v>608</v>
      </c>
    </row>
    <row r="7" customFormat="false" ht="31.5" hidden="false" customHeight="true" outlineLevel="0" collapsed="false">
      <c r="A7" s="10" t="n">
        <v>2</v>
      </c>
      <c r="B7" s="11" t="s">
        <v>609</v>
      </c>
      <c r="C7" s="10" t="s">
        <v>608</v>
      </c>
    </row>
    <row r="8" customFormat="false" ht="31.5" hidden="false" customHeight="true" outlineLevel="0" collapsed="false">
      <c r="A8" s="10" t="n">
        <v>3</v>
      </c>
      <c r="B8" s="11" t="s">
        <v>610</v>
      </c>
      <c r="C8" s="10" t="s">
        <v>611</v>
      </c>
    </row>
    <row r="9" customFormat="false" ht="31.5" hidden="false" customHeight="true" outlineLevel="0" collapsed="false">
      <c r="A9" s="10" t="n">
        <v>4</v>
      </c>
      <c r="B9" s="11" t="s">
        <v>612</v>
      </c>
      <c r="C9" s="10" t="s">
        <v>613</v>
      </c>
    </row>
    <row r="10" customFormat="false" ht="31.5" hidden="false" customHeight="true" outlineLevel="0" collapsed="false">
      <c r="A10" s="10" t="n">
        <v>5</v>
      </c>
      <c r="B10" s="11" t="s">
        <v>614</v>
      </c>
      <c r="C10" s="10" t="s">
        <v>615</v>
      </c>
    </row>
    <row r="11" customFormat="false" ht="31.5" hidden="false" customHeight="true" outlineLevel="0" collapsed="false">
      <c r="A11" s="10" t="n">
        <v>6</v>
      </c>
      <c r="B11" s="11" t="s">
        <v>616</v>
      </c>
      <c r="C11" s="10" t="s">
        <v>617</v>
      </c>
    </row>
    <row r="12" customFormat="false" ht="31.5" hidden="false" customHeight="true" outlineLevel="0" collapsed="false">
      <c r="A12" s="10" t="n">
        <v>7</v>
      </c>
      <c r="B12" s="11" t="s">
        <v>618</v>
      </c>
      <c r="C12" s="10" t="s">
        <v>619</v>
      </c>
    </row>
    <row r="13" customFormat="false" ht="31.5" hidden="false" customHeight="true" outlineLevel="0" collapsed="false">
      <c r="A13" s="10" t="n">
        <v>8</v>
      </c>
      <c r="B13" s="11" t="s">
        <v>620</v>
      </c>
      <c r="C13" s="10" t="s">
        <v>621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5" t="s">
        <v>622</v>
      </c>
      <c r="B1" s="5"/>
      <c r="C1" s="5"/>
      <c r="D1" s="5"/>
      <c r="E1" s="5"/>
    </row>
    <row r="3" customFormat="false" ht="15" hidden="false" customHeight="false" outlineLevel="0" collapsed="false">
      <c r="A3" s="12" t="s">
        <v>623</v>
      </c>
    </row>
    <row r="4" customFormat="false" ht="15" hidden="false" customHeight="false" outlineLevel="0" collapsed="false">
      <c r="A4" s="2" t="s">
        <v>624</v>
      </c>
      <c r="B4" s="9" t="n">
        <f aca="false">COUNTA('Cleaned Data'!$A$8:$A$507)</f>
        <v>500</v>
      </c>
    </row>
    <row r="5" customFormat="false" ht="15" hidden="false" customHeight="false" outlineLevel="0" collapsed="false">
      <c r="A5" s="2" t="s">
        <v>625</v>
      </c>
      <c r="B5" s="9" t="n">
        <f aca="false">SUM('Cleaned Data'!$H$8:$H$507)</f>
        <v>8408805.1</v>
      </c>
    </row>
    <row r="6" customFormat="false" ht="15" hidden="false" customHeight="false" outlineLevel="0" collapsed="false">
      <c r="A6" s="2" t="s">
        <v>626</v>
      </c>
      <c r="B6" s="3" t="n">
        <f aca="false">AVERAGE('Cleaned Data'!$H$8:$H$507)</f>
        <v>16817.6102</v>
      </c>
    </row>
    <row r="7" customFormat="false" ht="15" hidden="false" customHeight="false" outlineLevel="0" collapsed="false">
      <c r="A7" s="2" t="s">
        <v>627</v>
      </c>
      <c r="B7" s="3" t="n">
        <f aca="false">MEDIAN('Cleaned Data'!$H$8:$H$507)</f>
        <v>11923.25</v>
      </c>
    </row>
    <row r="9" customFormat="false" ht="15" hidden="false" customHeight="false" outlineLevel="0" collapsed="false">
      <c r="A9" s="12" t="s">
        <v>628</v>
      </c>
    </row>
    <row r="10" customFormat="false" ht="26.85" hidden="false" customHeight="false" outlineLevel="0" collapsed="false">
      <c r="A10" s="1" t="s">
        <v>5</v>
      </c>
      <c r="B10" s="1" t="s">
        <v>629</v>
      </c>
      <c r="C10" s="1" t="s">
        <v>630</v>
      </c>
      <c r="D10" s="1" t="s">
        <v>631</v>
      </c>
    </row>
    <row r="11" customFormat="false" ht="15" hidden="false" customHeight="false" outlineLevel="0" collapsed="false">
      <c r="A11" s="10" t="s">
        <v>19</v>
      </c>
      <c r="B11" s="13" t="n">
        <f aca="false">COUNTIF('Cleaned Data'!$F$8:$F$507,A11)</f>
        <v>373</v>
      </c>
      <c r="C11" s="13" t="n">
        <f aca="false">SUMIF('Cleaned Data'!$F$8:$F$507,A11,'Cleaned Data'!$H$8:$H$507)</f>
        <v>6720958.2</v>
      </c>
      <c r="D11" s="14" t="n">
        <f aca="false">AVERAGEIF('Cleaned Data'!$F$8:$F$507,A11,'Cleaned Data'!$H$8:$H$507)</f>
        <v>18018.654691689</v>
      </c>
    </row>
    <row r="12" customFormat="false" ht="15" hidden="false" customHeight="false" outlineLevel="0" collapsed="false">
      <c r="A12" s="10" t="s">
        <v>49</v>
      </c>
      <c r="B12" s="13" t="n">
        <f aca="false">COUNTIF('Cleaned Data'!$F$8:$F$507,A12)</f>
        <v>127</v>
      </c>
      <c r="C12" s="13" t="n">
        <f aca="false">SUMIF('Cleaned Data'!$F$8:$F$507,A12,'Cleaned Data'!$H$8:$H$507)</f>
        <v>1687846.9</v>
      </c>
      <c r="D12" s="14" t="n">
        <f aca="false">AVERAGEIF('Cleaned Data'!$F$8:$F$507,A12,'Cleaned Data'!$H$8:$H$507)</f>
        <v>13290.1330708661</v>
      </c>
    </row>
    <row r="14" customFormat="false" ht="15" hidden="false" customHeight="false" outlineLevel="0" collapsed="false">
      <c r="A14" s="12" t="s">
        <v>632</v>
      </c>
    </row>
    <row r="15" customFormat="false" ht="26.85" hidden="false" customHeight="false" outlineLevel="0" collapsed="false">
      <c r="A15" s="1" t="s">
        <v>1</v>
      </c>
      <c r="B15" s="1" t="s">
        <v>629</v>
      </c>
      <c r="C15" s="1" t="s">
        <v>630</v>
      </c>
      <c r="D15" s="1" t="s">
        <v>631</v>
      </c>
    </row>
    <row r="16" customFormat="false" ht="15" hidden="false" customHeight="false" outlineLevel="0" collapsed="false">
      <c r="A16" s="10" t="s">
        <v>15</v>
      </c>
      <c r="B16" s="13" t="n">
        <f aca="false">COUNTIF('Cleaned Data'!$B$8:$B$507,A16)</f>
        <v>390</v>
      </c>
      <c r="C16" s="13" t="n">
        <f aca="false">SUMIF('Cleaned Data'!$B$8:$B$507,A16,'Cleaned Data'!$H$8:$H$507)</f>
        <v>6438037.3</v>
      </c>
      <c r="D16" s="14" t="n">
        <f aca="false">AVERAGEIF('Cleaned Data'!$B$8:$B$507,A16,'Cleaned Data'!$H$8:$H$507)</f>
        <v>16507.787948718</v>
      </c>
    </row>
    <row r="17" customFormat="false" ht="15" hidden="false" customHeight="false" outlineLevel="0" collapsed="false">
      <c r="A17" s="10" t="s">
        <v>21</v>
      </c>
      <c r="B17" s="13" t="n">
        <f aca="false">COUNTIF('Cleaned Data'!$B$8:$B$507,A17)</f>
        <v>88</v>
      </c>
      <c r="C17" s="13" t="n">
        <f aca="false">SUMIF('Cleaned Data'!$B$8:$B$507,A17,'Cleaned Data'!$H$8:$H$507)</f>
        <v>1636227.7</v>
      </c>
      <c r="D17" s="14" t="n">
        <f aca="false">AVERAGEIF('Cleaned Data'!$B$8:$B$507,A17,'Cleaned Data'!$H$8:$H$507)</f>
        <v>18593.4965909091</v>
      </c>
    </row>
    <row r="18" customFormat="false" ht="15" hidden="false" customHeight="false" outlineLevel="0" collapsed="false">
      <c r="A18" s="10" t="s">
        <v>79</v>
      </c>
      <c r="B18" s="13" t="n">
        <f aca="false">COUNTIF('Cleaned Data'!$B$8:$B$507,A18)</f>
        <v>22</v>
      </c>
      <c r="C18" s="13" t="n">
        <f aca="false">SUMIF('Cleaned Data'!$B$8:$B$507,A18,'Cleaned Data'!$H$8:$H$507)</f>
        <v>334540.1</v>
      </c>
      <c r="D18" s="14" t="n">
        <f aca="false">AVERAGEIF('Cleaned Data'!$B$8:$B$507,A18,'Cleaned Data'!$H$8:$H$507)</f>
        <v>15206.3681818182</v>
      </c>
    </row>
    <row r="20" customFormat="false" ht="15" hidden="false" customHeight="false" outlineLevel="0" collapsed="false">
      <c r="A20" s="12" t="s">
        <v>633</v>
      </c>
    </row>
    <row r="21" customFormat="false" ht="26.85" hidden="false" customHeight="false" outlineLevel="0" collapsed="false">
      <c r="A21" s="1" t="s">
        <v>634</v>
      </c>
      <c r="B21" s="1" t="s">
        <v>629</v>
      </c>
      <c r="C21" s="1" t="s">
        <v>630</v>
      </c>
      <c r="D21" s="1" t="s">
        <v>635</v>
      </c>
      <c r="E21" s="1" t="s">
        <v>636</v>
      </c>
    </row>
    <row r="22" customFormat="false" ht="15" hidden="false" customHeight="false" outlineLevel="0" collapsed="false">
      <c r="A22" s="10" t="s">
        <v>18</v>
      </c>
      <c r="B22" s="13" t="n">
        <f aca="false">COUNTIF('Cleaned Data'!$E$8:$E$507,A22)</f>
        <v>115</v>
      </c>
      <c r="C22" s="13" t="n">
        <f aca="false">SUMIF('Cleaned Data'!$E$8:$E$507,A22,'Cleaned Data'!$H$8:$H$507)</f>
        <v>2126055.1</v>
      </c>
      <c r="D22" s="15" t="n">
        <f aca="false">C22/SUM('Cleaned Data'!$H$8:$H$507)</f>
        <v>0.252836767497442</v>
      </c>
      <c r="E22" s="15" t="n">
        <f aca="false">D22</f>
        <v>0.252836767497442</v>
      </c>
    </row>
    <row r="23" customFormat="false" ht="15" hidden="false" customHeight="false" outlineLevel="0" collapsed="false">
      <c r="A23" s="10" t="s">
        <v>23</v>
      </c>
      <c r="B23" s="13" t="n">
        <f aca="false">COUNTIF('Cleaned Data'!$E$8:$E$507,A23)</f>
        <v>102</v>
      </c>
      <c r="C23" s="13" t="n">
        <f aca="false">SUMIF('Cleaned Data'!$E$8:$E$507,A23,'Cleaned Data'!$H$8:$H$507)</f>
        <v>2003601.8</v>
      </c>
      <c r="D23" s="15" t="n">
        <f aca="false">C23/SUM('Cleaned Data'!$H$8:$H$507)</f>
        <v>0.238274258491257</v>
      </c>
      <c r="E23" s="15" t="n">
        <f aca="false">E22+D23</f>
        <v>0.491111025988699</v>
      </c>
    </row>
    <row r="24" customFormat="false" ht="15" hidden="false" customHeight="false" outlineLevel="0" collapsed="false">
      <c r="A24" s="10" t="s">
        <v>26</v>
      </c>
      <c r="B24" s="13" t="n">
        <f aca="false">COUNTIF('Cleaned Data'!$E$8:$E$507,A24)</f>
        <v>43</v>
      </c>
      <c r="C24" s="13" t="n">
        <f aca="false">SUMIF('Cleaned Data'!$E$8:$E$507,A24,'Cleaned Data'!$H$8:$H$507)</f>
        <v>888855.1</v>
      </c>
      <c r="D24" s="15" t="n">
        <f aca="false">C24/SUM('Cleaned Data'!$H$8:$H$507)</f>
        <v>0.105705280290062</v>
      </c>
      <c r="E24" s="15" t="n">
        <f aca="false">E23+D24</f>
        <v>0.59681630627876</v>
      </c>
    </row>
    <row r="25" customFormat="false" ht="15" hidden="false" customHeight="false" outlineLevel="0" collapsed="false">
      <c r="A25" s="10" t="s">
        <v>52</v>
      </c>
      <c r="B25" s="13" t="n">
        <f aca="false">COUNTIF('Cleaned Data'!$E$8:$E$507,A25)</f>
        <v>60</v>
      </c>
      <c r="C25" s="13" t="n">
        <f aca="false">SUMIF('Cleaned Data'!$E$8:$E$507,A25,'Cleaned Data'!$H$8:$H$507)</f>
        <v>812082.6</v>
      </c>
      <c r="D25" s="15" t="n">
        <f aca="false">C25/SUM('Cleaned Data'!$H$8:$H$507)</f>
        <v>0.0965752672754896</v>
      </c>
      <c r="E25" s="15" t="n">
        <f aca="false">E24+D25</f>
        <v>0.69339157355425</v>
      </c>
    </row>
    <row r="26" customFormat="false" ht="15" hidden="false" customHeight="false" outlineLevel="0" collapsed="false">
      <c r="A26" s="10" t="s">
        <v>28</v>
      </c>
      <c r="B26" s="13" t="n">
        <f aca="false">COUNTIF('Cleaned Data'!$E$8:$E$507,A26)</f>
        <v>31</v>
      </c>
      <c r="C26" s="13" t="n">
        <f aca="false">SUMIF('Cleaned Data'!$E$8:$E$507,A26,'Cleaned Data'!$H$8:$H$507)</f>
        <v>570698.4</v>
      </c>
      <c r="D26" s="15" t="n">
        <f aca="false">C26/SUM('Cleaned Data'!$H$8:$H$507)</f>
        <v>0.0678691435005433</v>
      </c>
      <c r="E26" s="15" t="n">
        <f aca="false">E25+D26</f>
        <v>0.761260717054793</v>
      </c>
    </row>
    <row r="27" customFormat="false" ht="15" hidden="false" customHeight="false" outlineLevel="0" collapsed="false">
      <c r="A27" s="10" t="s">
        <v>83</v>
      </c>
      <c r="B27" s="13" t="n">
        <f aca="false">COUNTIF('Cleaned Data'!$E$8:$E$507,A27)</f>
        <v>30</v>
      </c>
      <c r="C27" s="13" t="n">
        <f aca="false">SUMIF('Cleaned Data'!$E$8:$E$507,A27,'Cleaned Data'!$H$8:$H$507)</f>
        <v>377962</v>
      </c>
      <c r="D27" s="15" t="n">
        <f aca="false">C27/SUM('Cleaned Data'!$H$8:$H$507)</f>
        <v>0.0449483601421562</v>
      </c>
      <c r="E27" s="15" t="n">
        <f aca="false">E26+D27</f>
        <v>0.806209077196949</v>
      </c>
    </row>
    <row r="28" customFormat="false" ht="15" hidden="false" customHeight="false" outlineLevel="0" collapsed="false">
      <c r="A28" s="10" t="s">
        <v>61</v>
      </c>
      <c r="B28" s="13" t="n">
        <f aca="false">COUNTIF('Cleaned Data'!$E$8:$E$507,A28)</f>
        <v>22</v>
      </c>
      <c r="C28" s="13" t="n">
        <f aca="false">SUMIF('Cleaned Data'!$E$8:$E$507,A28,'Cleaned Data'!$H$8:$H$507)</f>
        <v>367096.9</v>
      </c>
      <c r="D28" s="15" t="n">
        <f aca="false">C28/SUM('Cleaned Data'!$H$8:$H$507)</f>
        <v>0.0436562502798406</v>
      </c>
      <c r="E28" s="15" t="n">
        <f aca="false">E27+D28</f>
        <v>0.84986532747679</v>
      </c>
    </row>
    <row r="29" customFormat="false" ht="15" hidden="false" customHeight="false" outlineLevel="0" collapsed="false">
      <c r="A29" s="10" t="s">
        <v>91</v>
      </c>
      <c r="B29" s="13" t="n">
        <f aca="false">COUNTIF('Cleaned Data'!$E$8:$E$507,A29)</f>
        <v>19</v>
      </c>
      <c r="C29" s="13" t="n">
        <f aca="false">SUMIF('Cleaned Data'!$E$8:$E$507,A29,'Cleaned Data'!$H$8:$H$507)</f>
        <v>256013.5</v>
      </c>
      <c r="D29" s="15" t="n">
        <f aca="false">C29/SUM('Cleaned Data'!$H$8:$H$507)</f>
        <v>0.0304458834466267</v>
      </c>
      <c r="E29" s="15" t="n">
        <f aca="false">E28+D29</f>
        <v>0.880311210923417</v>
      </c>
    </row>
    <row r="30" customFormat="false" ht="15" hidden="false" customHeight="false" outlineLevel="0" collapsed="false">
      <c r="A30" s="10" t="s">
        <v>48</v>
      </c>
      <c r="B30" s="13" t="n">
        <f aca="false">COUNTIF('Cleaned Data'!$E$8:$E$507,A30)</f>
        <v>11</v>
      </c>
      <c r="C30" s="13" t="n">
        <f aca="false">SUMIF('Cleaned Data'!$E$8:$E$507,A30,'Cleaned Data'!$H$8:$H$507)</f>
        <v>157338.7</v>
      </c>
      <c r="D30" s="15" t="n">
        <f aca="false">C30/SUM('Cleaned Data'!$H$8:$H$507)</f>
        <v>0.018711184065855</v>
      </c>
      <c r="E30" s="15" t="n">
        <f aca="false">E29+D30</f>
        <v>0.899022394989271</v>
      </c>
    </row>
    <row r="31" customFormat="false" ht="15" hidden="false" customHeight="false" outlineLevel="0" collapsed="false">
      <c r="A31" s="10" t="s">
        <v>74</v>
      </c>
      <c r="B31" s="13" t="n">
        <f aca="false">COUNTIF('Cleaned Data'!$E$8:$E$507,A31)</f>
        <v>11</v>
      </c>
      <c r="C31" s="13" t="n">
        <f aca="false">SUMIF('Cleaned Data'!$E$8:$E$507,A31,'Cleaned Data'!$H$8:$H$507)</f>
        <v>151357.9</v>
      </c>
      <c r="D31" s="15" t="n">
        <f aca="false">C31/SUM('Cleaned Data'!$H$8:$H$507)</f>
        <v>0.0179999296213918</v>
      </c>
      <c r="E31" s="15" t="n">
        <f aca="false">E30+D31</f>
        <v>0.917022324610663</v>
      </c>
    </row>
    <row r="32" customFormat="false" ht="15" hidden="false" customHeight="false" outlineLevel="0" collapsed="false">
      <c r="A32" s="10" t="s">
        <v>58</v>
      </c>
      <c r="B32" s="13" t="n">
        <f aca="false">COUNTIF('Cleaned Data'!$E$8:$E$507,A32)</f>
        <v>9</v>
      </c>
      <c r="C32" s="13" t="n">
        <f aca="false">SUMIF('Cleaned Data'!$E$8:$E$507,A32,'Cleaned Data'!$H$8:$H$507)</f>
        <v>148227.3</v>
      </c>
      <c r="D32" s="15" t="n">
        <f aca="false">C32/SUM('Cleaned Data'!$H$8:$H$507)</f>
        <v>0.017627629400044</v>
      </c>
      <c r="E32" s="15" t="n">
        <f aca="false">E31+D32</f>
        <v>0.934649954010707</v>
      </c>
    </row>
    <row r="33" customFormat="false" ht="15" hidden="false" customHeight="false" outlineLevel="0" collapsed="false">
      <c r="A33" s="10" t="s">
        <v>99</v>
      </c>
      <c r="B33" s="13" t="n">
        <f aca="false">COUNTIF('Cleaned Data'!$E$8:$E$507,A33)</f>
        <v>10</v>
      </c>
      <c r="C33" s="13" t="n">
        <f aca="false">SUMIF('Cleaned Data'!$E$8:$E$507,A33,'Cleaned Data'!$H$8:$H$507)</f>
        <v>130286.2</v>
      </c>
      <c r="D33" s="15" t="n">
        <f aca="false">C33/SUM('Cleaned Data'!$H$8:$H$507)</f>
        <v>0.0154940206665035</v>
      </c>
      <c r="E33" s="15" t="n">
        <f aca="false">E32+D33</f>
        <v>0.950143974677211</v>
      </c>
    </row>
    <row r="34" customFormat="false" ht="15" hidden="false" customHeight="false" outlineLevel="0" collapsed="false">
      <c r="A34" s="10" t="s">
        <v>169</v>
      </c>
      <c r="B34" s="13" t="n">
        <f aca="false">COUNTIF('Cleaned Data'!$E$8:$E$507,A34)</f>
        <v>9</v>
      </c>
      <c r="C34" s="13" t="n">
        <f aca="false">SUMIF('Cleaned Data'!$E$8:$E$507,A34,'Cleaned Data'!$H$8:$H$507)</f>
        <v>104798.4</v>
      </c>
      <c r="D34" s="15" t="n">
        <f aca="false">C34/SUM('Cleaned Data'!$H$8:$H$507)</f>
        <v>0.0124629360240494</v>
      </c>
      <c r="E34" s="15" t="n">
        <f aca="false">E33+D34</f>
        <v>0.96260691070126</v>
      </c>
    </row>
    <row r="35" customFormat="false" ht="15" hidden="false" customHeight="false" outlineLevel="0" collapsed="false">
      <c r="A35" s="10" t="s">
        <v>292</v>
      </c>
      <c r="B35" s="13" t="n">
        <f aca="false">COUNTIF('Cleaned Data'!$E$8:$E$507,A35)</f>
        <v>8</v>
      </c>
      <c r="C35" s="13" t="n">
        <f aca="false">SUMIF('Cleaned Data'!$E$8:$E$507,A35,'Cleaned Data'!$H$8:$H$507)</f>
        <v>73598.9</v>
      </c>
      <c r="D35" s="15" t="n">
        <f aca="false">C35/SUM('Cleaned Data'!$H$8:$H$507)</f>
        <v>0.00875259910590626</v>
      </c>
      <c r="E35" s="15" t="n">
        <f aca="false">E34+D35</f>
        <v>0.971359509807166</v>
      </c>
    </row>
    <row r="36" customFormat="false" ht="15" hidden="false" customHeight="false" outlineLevel="0" collapsed="false">
      <c r="A36" s="10" t="s">
        <v>140</v>
      </c>
      <c r="B36" s="13" t="n">
        <f aca="false">COUNTIF('Cleaned Data'!$E$8:$E$507,A36)</f>
        <v>3</v>
      </c>
      <c r="C36" s="13" t="n">
        <f aca="false">SUMIF('Cleaned Data'!$E$8:$E$507,A36,'Cleaned Data'!$H$8:$H$507)</f>
        <v>41191.3</v>
      </c>
      <c r="D36" s="15" t="n">
        <f aca="false">C36/SUM('Cleaned Data'!$H$8:$H$507)</f>
        <v>0.00489859135871754</v>
      </c>
      <c r="E36" s="15" t="n">
        <f aca="false">E35+D36</f>
        <v>0.976258101165884</v>
      </c>
    </row>
    <row r="37" customFormat="false" ht="15" hidden="false" customHeight="false" outlineLevel="0" collapsed="false">
      <c r="A37" s="10" t="s">
        <v>152</v>
      </c>
      <c r="B37" s="13" t="n">
        <f aca="false">COUNTIF('Cleaned Data'!$E$8:$E$507,A37)</f>
        <v>3</v>
      </c>
      <c r="C37" s="13" t="n">
        <f aca="false">SUMIF('Cleaned Data'!$E$8:$E$507,A37,'Cleaned Data'!$H$8:$H$507)</f>
        <v>40651.4</v>
      </c>
      <c r="D37" s="15" t="n">
        <f aca="false">C37/SUM('Cleaned Data'!$H$8:$H$507)</f>
        <v>0.00483438485213553</v>
      </c>
      <c r="E37" s="15" t="n">
        <f aca="false">E36+D37</f>
        <v>0.981092486018019</v>
      </c>
    </row>
    <row r="38" customFormat="false" ht="15" hidden="false" customHeight="false" outlineLevel="0" collapsed="false">
      <c r="A38" s="10" t="s">
        <v>273</v>
      </c>
      <c r="B38" s="13" t="n">
        <f aca="false">COUNTIF('Cleaned Data'!$E$8:$E$507,A38)</f>
        <v>4</v>
      </c>
      <c r="C38" s="13" t="n">
        <f aca="false">SUMIF('Cleaned Data'!$E$8:$E$507,A38,'Cleaned Data'!$H$8:$H$507)</f>
        <v>39366.8</v>
      </c>
      <c r="D38" s="15" t="n">
        <f aca="false">C38/SUM('Cleaned Data'!$H$8:$H$507)</f>
        <v>0.00468161641658219</v>
      </c>
      <c r="E38" s="15" t="n">
        <f aca="false">E37+D38</f>
        <v>0.985774102434602</v>
      </c>
    </row>
    <row r="39" customFormat="false" ht="15" hidden="false" customHeight="false" outlineLevel="0" collapsed="false">
      <c r="A39" s="10" t="s">
        <v>185</v>
      </c>
      <c r="B39" s="13" t="n">
        <f aca="false">COUNTIF('Cleaned Data'!$E$8:$E$507,A39)</f>
        <v>2</v>
      </c>
      <c r="C39" s="13" t="n">
        <f aca="false">SUMIF('Cleaned Data'!$E$8:$E$507,A39,'Cleaned Data'!$H$8:$H$507)</f>
        <v>33196</v>
      </c>
      <c r="D39" s="15" t="n">
        <f aca="false">C39/SUM('Cleaned Data'!$H$8:$H$507)</f>
        <v>0.00394776660955074</v>
      </c>
      <c r="E39" s="15" t="n">
        <f aca="false">E38+D39</f>
        <v>0.989721869044152</v>
      </c>
    </row>
    <row r="40" customFormat="false" ht="15" hidden="false" customHeight="false" outlineLevel="0" collapsed="false">
      <c r="A40" s="10" t="s">
        <v>456</v>
      </c>
      <c r="B40" s="13" t="n">
        <f aca="false">COUNTIF('Cleaned Data'!$E$8:$E$507,A40)</f>
        <v>3</v>
      </c>
      <c r="C40" s="13" t="n">
        <f aca="false">SUMIF('Cleaned Data'!$E$8:$E$507,A40,'Cleaned Data'!$H$8:$H$507)</f>
        <v>25044.8</v>
      </c>
      <c r="D40" s="15" t="n">
        <f aca="false">C40/SUM('Cleaned Data'!$H$8:$H$507)</f>
        <v>0.00297840177078192</v>
      </c>
      <c r="E40" s="15" t="n">
        <f aca="false">E39+D40</f>
        <v>0.992700270814934</v>
      </c>
    </row>
    <row r="41" customFormat="false" ht="15" hidden="false" customHeight="false" outlineLevel="0" collapsed="false">
      <c r="A41" s="10" t="s">
        <v>131</v>
      </c>
      <c r="B41" s="13" t="n">
        <f aca="false">COUNTIF('Cleaned Data'!$E$8:$E$507,A41)</f>
        <v>1</v>
      </c>
      <c r="C41" s="13" t="n">
        <f aca="false">SUMIF('Cleaned Data'!$E$8:$E$507,A41,'Cleaned Data'!$H$8:$H$507)</f>
        <v>24607</v>
      </c>
      <c r="D41" s="15" t="n">
        <f aca="false">C41/SUM('Cleaned Data'!$H$8:$H$507)</f>
        <v>0.0029263372985063</v>
      </c>
      <c r="E41" s="15" t="n">
        <f aca="false">E40+D41</f>
        <v>0.995626608113441</v>
      </c>
    </row>
    <row r="42" customFormat="false" ht="15" hidden="false" customHeight="false" outlineLevel="0" collapsed="false">
      <c r="A42" s="10" t="s">
        <v>350</v>
      </c>
      <c r="B42" s="13" t="n">
        <f aca="false">COUNTIF('Cleaned Data'!$E$8:$E$507,A42)</f>
        <v>2</v>
      </c>
      <c r="C42" s="13" t="n">
        <f aca="false">SUMIF('Cleaned Data'!$E$8:$E$507,A42,'Cleaned Data'!$H$8:$H$507)</f>
        <v>21439.6</v>
      </c>
      <c r="D42" s="15" t="n">
        <f aca="false">C42/SUM('Cleaned Data'!$H$8:$H$507)</f>
        <v>0.00254966071219798</v>
      </c>
      <c r="E42" s="15" t="n">
        <f aca="false">E41+D42</f>
        <v>0.998176268825639</v>
      </c>
    </row>
    <row r="43" customFormat="false" ht="15" hidden="false" customHeight="false" outlineLevel="0" collapsed="false">
      <c r="A43" s="10" t="s">
        <v>489</v>
      </c>
      <c r="B43" s="13" t="n">
        <f aca="false">COUNTIF('Cleaned Data'!$E$8:$E$507,A43)</f>
        <v>1</v>
      </c>
      <c r="C43" s="13" t="n">
        <f aca="false">SUMIF('Cleaned Data'!$E$8:$E$507,A43,'Cleaned Data'!$H$8:$H$507)</f>
        <v>8316.5</v>
      </c>
      <c r="D43" s="15" t="n">
        <f aca="false">C43/SUM('Cleaned Data'!$H$8:$H$507)</f>
        <v>0.00098902280420318</v>
      </c>
      <c r="E43" s="15" t="n">
        <f aca="false">E42+D43</f>
        <v>0.999165291629842</v>
      </c>
    </row>
    <row r="44" customFormat="false" ht="15" hidden="false" customHeight="false" outlineLevel="0" collapsed="false">
      <c r="A44" s="10" t="s">
        <v>593</v>
      </c>
      <c r="B44" s="13" t="n">
        <f aca="false">COUNTIF('Cleaned Data'!$E$8:$E$507,A44)</f>
        <v>1</v>
      </c>
      <c r="C44" s="13" t="n">
        <f aca="false">SUMIF('Cleaned Data'!$E$8:$E$507,A44,'Cleaned Data'!$H$8:$H$507)</f>
        <v>7018.9</v>
      </c>
      <c r="D44" s="15" t="n">
        <f aca="false">C44/SUM('Cleaned Data'!$H$8:$H$507)</f>
        <v>0.000834708370158324</v>
      </c>
      <c r="E44" s="15" t="n">
        <f aca="false">E43+D44</f>
        <v>1</v>
      </c>
    </row>
    <row r="46" customFormat="false" ht="15" hidden="false" customHeight="false" outlineLevel="0" collapsed="false">
      <c r="A46" s="12" t="s">
        <v>637</v>
      </c>
    </row>
    <row r="47" customFormat="false" ht="15" hidden="false" customHeight="false" outlineLevel="0" collapsed="false">
      <c r="A47" s="1" t="s">
        <v>99</v>
      </c>
      <c r="B47" s="1" t="s">
        <v>629</v>
      </c>
      <c r="C47" s="1" t="s">
        <v>630</v>
      </c>
      <c r="D47" s="1" t="s">
        <v>635</v>
      </c>
    </row>
    <row r="48" customFormat="false" ht="15" hidden="false" customHeight="false" outlineLevel="0" collapsed="false">
      <c r="A48" s="10" t="s">
        <v>22</v>
      </c>
      <c r="B48" s="13" t="n">
        <f aca="false">COUNTIF('Cleaned Data'!$C$8:$C$507,A48)</f>
        <v>265</v>
      </c>
      <c r="C48" s="13" t="n">
        <f aca="false">SUMIF('Cleaned Data'!$C$8:$C$507,A48,'Cleaned Data'!$H$8:$H$507)</f>
        <v>4786604</v>
      </c>
      <c r="D48" s="15" t="n">
        <f aca="false">C48/SUM('Cleaned Data'!$H$8:$H$507)</f>
        <v>0.569237120265756</v>
      </c>
    </row>
    <row r="49" customFormat="false" ht="15" hidden="false" customHeight="false" outlineLevel="0" collapsed="false">
      <c r="A49" s="10" t="s">
        <v>34</v>
      </c>
      <c r="B49" s="13" t="n">
        <f aca="false">COUNTIF('Cleaned Data'!$C$8:$C$507,A49)</f>
        <v>55</v>
      </c>
      <c r="C49" s="13" t="n">
        <f aca="false">SUMIF('Cleaned Data'!$C$8:$C$507,A49,'Cleaned Data'!$H$8:$H$507)</f>
        <v>852177.8</v>
      </c>
      <c r="D49" s="15" t="n">
        <f aca="false">C49/SUM('Cleaned Data'!$H$8:$H$507)</f>
        <v>0.101343507176781</v>
      </c>
    </row>
    <row r="50" customFormat="false" ht="15" hidden="false" customHeight="false" outlineLevel="0" collapsed="false">
      <c r="A50" s="10" t="s">
        <v>16</v>
      </c>
      <c r="B50" s="13" t="n">
        <f aca="false">COUNTIF('Cleaned Data'!$C$8:$C$507,A50)</f>
        <v>18</v>
      </c>
      <c r="C50" s="13" t="n">
        <f aca="false">SUMIF('Cleaned Data'!$C$8:$C$507,A50,'Cleaned Data'!$H$8:$H$507)</f>
        <v>496760.3</v>
      </c>
      <c r="D50" s="15" t="n">
        <f aca="false">C50/SUM('Cleaned Data'!$H$8:$H$507)</f>
        <v>0.0590762057263047</v>
      </c>
    </row>
    <row r="51" customFormat="false" ht="15" hidden="false" customHeight="false" outlineLevel="0" collapsed="false">
      <c r="A51" s="10" t="s">
        <v>90</v>
      </c>
      <c r="B51" s="13" t="n">
        <f aca="false">COUNTIF('Cleaned Data'!$C$8:$C$507,A51)</f>
        <v>27</v>
      </c>
      <c r="C51" s="13" t="n">
        <f aca="false">SUMIF('Cleaned Data'!$C$8:$C$507,A51,'Cleaned Data'!$H$8:$H$507)</f>
        <v>332177.9</v>
      </c>
      <c r="D51" s="15" t="n">
        <f aca="false">C51/SUM('Cleaned Data'!$H$8:$H$507)</f>
        <v>0.0395035794086844</v>
      </c>
    </row>
    <row r="52" customFormat="false" ht="15" hidden="false" customHeight="false" outlineLevel="0" collapsed="false">
      <c r="A52" s="10" t="s">
        <v>43</v>
      </c>
      <c r="B52" s="13" t="n">
        <f aca="false">COUNTIF('Cleaned Data'!$C$8:$C$507,A52)</f>
        <v>16</v>
      </c>
      <c r="C52" s="13" t="n">
        <f aca="false">SUMIF('Cleaned Data'!$C$8:$C$507,A52,'Cleaned Data'!$H$8:$H$507)</f>
        <v>327813.8</v>
      </c>
      <c r="D52" s="15" t="n">
        <f aca="false">C52/SUM('Cleaned Data'!$H$8:$H$507)</f>
        <v>0.0389845877150845</v>
      </c>
    </row>
    <row r="53" customFormat="false" ht="15" hidden="false" customHeight="false" outlineLevel="0" collapsed="false">
      <c r="A53" s="10" t="s">
        <v>72</v>
      </c>
      <c r="B53" s="13" t="n">
        <f aca="false">COUNTIF('Cleaned Data'!$C$8:$C$507,A53)</f>
        <v>13</v>
      </c>
      <c r="C53" s="13" t="n">
        <f aca="false">SUMIF('Cleaned Data'!$C$8:$C$507,A53,'Cleaned Data'!$H$8:$H$507)</f>
        <v>186954.7</v>
      </c>
      <c r="D53" s="15" t="n">
        <f aca="false">C53/SUM('Cleaned Data'!$H$8:$H$507)</f>
        <v>0.0222332064754361</v>
      </c>
    </row>
    <row r="54" customFormat="false" ht="15" hidden="false" customHeight="false" outlineLevel="0" collapsed="false">
      <c r="A54" s="10" t="s">
        <v>167</v>
      </c>
      <c r="B54" s="13" t="n">
        <f aca="false">COUNTIF('Cleaned Data'!$C$8:$C$507,A54)</f>
        <v>15</v>
      </c>
      <c r="C54" s="13" t="n">
        <f aca="false">SUMIF('Cleaned Data'!$C$8:$C$507,A54,'Cleaned Data'!$H$8:$H$507)</f>
        <v>164439</v>
      </c>
      <c r="D54" s="15" t="n">
        <f aca="false">C54/SUM('Cleaned Data'!$H$8:$H$507)</f>
        <v>0.0195555727650294</v>
      </c>
    </row>
    <row r="55" customFormat="false" ht="15" hidden="false" customHeight="false" outlineLevel="0" collapsed="false">
      <c r="A55" s="10" t="s">
        <v>46</v>
      </c>
      <c r="B55" s="13" t="n">
        <f aca="false">COUNTIF('Cleaned Data'!$C$8:$C$507,A55)</f>
        <v>11</v>
      </c>
      <c r="C55" s="13" t="n">
        <f aca="false">SUMIF('Cleaned Data'!$C$8:$C$507,A55,'Cleaned Data'!$H$8:$H$507)</f>
        <v>157338.7</v>
      </c>
      <c r="D55" s="15" t="n">
        <f aca="false">C55/SUM('Cleaned Data'!$H$8:$H$507)</f>
        <v>0.018711184065855</v>
      </c>
    </row>
    <row r="56" customFormat="false" ht="15" hidden="false" customHeight="false" outlineLevel="0" collapsed="false">
      <c r="A56" s="10" t="s">
        <v>95</v>
      </c>
      <c r="B56" s="13" t="n">
        <f aca="false">COUNTIF('Cleaned Data'!$C$8:$C$507,A56)</f>
        <v>7</v>
      </c>
      <c r="C56" s="13" t="n">
        <f aca="false">SUMIF('Cleaned Data'!$C$8:$C$507,A56,'Cleaned Data'!$H$8:$H$507)</f>
        <v>108994.9</v>
      </c>
      <c r="D56" s="15" t="n">
        <f aca="false">C56/SUM('Cleaned Data'!$H$8:$H$507)</f>
        <v>0.0129619962294048</v>
      </c>
    </row>
    <row r="57" customFormat="false" ht="15" hidden="false" customHeight="false" outlineLevel="0" collapsed="false">
      <c r="A57" s="10" t="s">
        <v>60</v>
      </c>
      <c r="B57" s="13" t="n">
        <f aca="false">COUNTIF('Cleaned Data'!$C$8:$C$507,A57)</f>
        <v>5</v>
      </c>
      <c r="C57" s="13" t="n">
        <f aca="false">SUMIF('Cleaned Data'!$C$8:$C$507,A57,'Cleaned Data'!$H$8:$H$507)</f>
        <v>100884.5</v>
      </c>
      <c r="D57" s="15" t="n">
        <f aca="false">C57/SUM('Cleaned Data'!$H$8:$H$507)</f>
        <v>0.0119974834474401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5" t="s">
        <v>638</v>
      </c>
      <c r="B1" s="5"/>
      <c r="C1" s="5"/>
      <c r="D1" s="5"/>
      <c r="E1" s="5"/>
      <c r="F1" s="5"/>
    </row>
    <row r="3" customFormat="false" ht="30" hidden="false" customHeight="true" outlineLevel="0" collapsed="false">
      <c r="A3" s="6" t="s">
        <v>639</v>
      </c>
      <c r="B3" s="6"/>
      <c r="C3" s="6"/>
      <c r="D3" s="6"/>
      <c r="E3" s="6"/>
      <c r="F3" s="6"/>
    </row>
    <row r="6" customFormat="false" ht="15" hidden="false" customHeight="false" outlineLevel="0" collapsed="false">
      <c r="A6" s="12" t="s">
        <v>640</v>
      </c>
    </row>
    <row r="7" customFormat="false" ht="26.85" hidden="false" customHeight="false" outlineLevel="0" collapsed="false">
      <c r="A7" s="1" t="s">
        <v>641</v>
      </c>
      <c r="B7" s="1" t="s">
        <v>0</v>
      </c>
      <c r="C7" s="1" t="s">
        <v>6</v>
      </c>
      <c r="D7" s="1" t="s">
        <v>599</v>
      </c>
      <c r="E7" s="1" t="s">
        <v>7</v>
      </c>
      <c r="F7" s="1" t="s">
        <v>642</v>
      </c>
    </row>
    <row r="8" customFormat="false" ht="15" hidden="false" customHeight="false" outlineLevel="0" collapsed="false">
      <c r="A8" s="10" t="n">
        <v>1</v>
      </c>
      <c r="B8" s="10" t="s">
        <v>24</v>
      </c>
      <c r="C8" s="16" t="n">
        <f aca="false">INDEX('Cleaned Data'!$G$8:$G$507,MATCH(B8,'Cleaned Data'!$A$8:$A$507,0))</f>
        <v>2013</v>
      </c>
      <c r="D8" s="13" t="n">
        <f aca="false">INDEX('Cleaned Data'!$O$8:$O$507,MATCH(B8,'Cleaned Data'!$A$8:$A$507,0))</f>
        <v>13</v>
      </c>
      <c r="E8" s="14" t="n">
        <f aca="false">INDEX('Cleaned Data'!$H$8:$H$507,MATCH(B8,'Cleaned Data'!$A$8:$A$507,0))</f>
        <v>125899.8</v>
      </c>
      <c r="F8" s="14" t="n">
        <f aca="false">INDEX('Cleaned Data'!$P$8:$P$507,MATCH(B8,'Cleaned Data'!$A$8:$A$507,0))</f>
        <v>9684.6</v>
      </c>
    </row>
    <row r="9" customFormat="false" ht="15" hidden="false" customHeight="false" outlineLevel="0" collapsed="false">
      <c r="A9" s="10" t="n">
        <v>2</v>
      </c>
      <c r="B9" s="10" t="s">
        <v>14</v>
      </c>
      <c r="C9" s="16" t="n">
        <f aca="false">INDEX('Cleaned Data'!$G$8:$G$507,MATCH(B9,'Cleaned Data'!$A$8:$A$507,0))</f>
        <v>2006</v>
      </c>
      <c r="D9" s="13" t="n">
        <f aca="false">INDEX('Cleaned Data'!$O$8:$O$507,MATCH(B9,'Cleaned Data'!$A$8:$A$507,0))</f>
        <v>20</v>
      </c>
      <c r="E9" s="14" t="n">
        <f aca="false">INDEX('Cleaned Data'!$H$8:$H$507,MATCH(B9,'Cleaned Data'!$A$8:$A$507,0))</f>
        <v>137492.1</v>
      </c>
      <c r="F9" s="14" t="n">
        <f aca="false">INDEX('Cleaned Data'!$P$8:$P$507,MATCH(B9,'Cleaned Data'!$A$8:$A$507,0))</f>
        <v>6874.605</v>
      </c>
    </row>
    <row r="10" customFormat="false" ht="15" hidden="false" customHeight="false" outlineLevel="0" collapsed="false">
      <c r="A10" s="10" t="n">
        <v>3</v>
      </c>
      <c r="B10" s="10" t="s">
        <v>20</v>
      </c>
      <c r="C10" s="16" t="n">
        <f aca="false">INDEX('Cleaned Data'!$G$8:$G$507,MATCH(B10,'Cleaned Data'!$A$8:$A$507,0))</f>
        <v>2006</v>
      </c>
      <c r="D10" s="13" t="n">
        <f aca="false">INDEX('Cleaned Data'!$O$8:$O$507,MATCH(B10,'Cleaned Data'!$A$8:$A$507,0))</f>
        <v>20</v>
      </c>
      <c r="E10" s="14" t="n">
        <f aca="false">INDEX('Cleaned Data'!$H$8:$H$507,MATCH(B10,'Cleaned Data'!$A$8:$A$507,0))</f>
        <v>127861</v>
      </c>
      <c r="F10" s="14" t="n">
        <f aca="false">INDEX('Cleaned Data'!$P$8:$P$507,MATCH(B10,'Cleaned Data'!$A$8:$A$507,0))</f>
        <v>6393.05</v>
      </c>
    </row>
    <row r="11" customFormat="false" ht="15" hidden="false" customHeight="false" outlineLevel="0" collapsed="false">
      <c r="A11" s="10" t="n">
        <v>4</v>
      </c>
      <c r="B11" s="10" t="s">
        <v>108</v>
      </c>
      <c r="C11" s="16" t="n">
        <f aca="false">INDEX('Cleaned Data'!$G$8:$G$507,MATCH(B11,'Cleaned Data'!$A$8:$A$507,0))</f>
        <v>2021</v>
      </c>
      <c r="D11" s="13" t="n">
        <f aca="false">INDEX('Cleaned Data'!$O$8:$O$507,MATCH(B11,'Cleaned Data'!$A$8:$A$507,0))</f>
        <v>5</v>
      </c>
      <c r="E11" s="14" t="n">
        <f aca="false">INDEX('Cleaned Data'!$H$8:$H$507,MATCH(B11,'Cleaned Data'!$A$8:$A$507,0))</f>
        <v>28799.7</v>
      </c>
      <c r="F11" s="14" t="n">
        <f aca="false">INDEX('Cleaned Data'!$P$8:$P$507,MATCH(B11,'Cleaned Data'!$A$8:$A$507,0))</f>
        <v>5759.94</v>
      </c>
    </row>
    <row r="12" customFormat="false" ht="15" hidden="false" customHeight="false" outlineLevel="0" collapsed="false">
      <c r="A12" s="10" t="n">
        <v>5</v>
      </c>
      <c r="B12" s="10" t="s">
        <v>27</v>
      </c>
      <c r="C12" s="16" t="n">
        <f aca="false">INDEX('Cleaned Data'!$G$8:$G$507,MATCH(B12,'Cleaned Data'!$A$8:$A$507,0))</f>
        <v>2009</v>
      </c>
      <c r="D12" s="13" t="n">
        <f aca="false">INDEX('Cleaned Data'!$O$8:$O$507,MATCH(B12,'Cleaned Data'!$A$8:$A$507,0))</f>
        <v>17</v>
      </c>
      <c r="E12" s="14" t="n">
        <f aca="false">INDEX('Cleaned Data'!$H$8:$H$507,MATCH(B12,'Cleaned Data'!$A$8:$A$507,0))</f>
        <v>95703.2</v>
      </c>
      <c r="F12" s="14" t="n">
        <f aca="false">INDEX('Cleaned Data'!$P$8:$P$507,MATCH(B12,'Cleaned Data'!$A$8:$A$507,0))</f>
        <v>5629.6</v>
      </c>
    </row>
    <row r="13" customFormat="false" ht="15" hidden="false" customHeight="false" outlineLevel="0" collapsed="false">
      <c r="A13" s="10" t="n">
        <v>6</v>
      </c>
      <c r="B13" s="10" t="s">
        <v>89</v>
      </c>
      <c r="C13" s="16" t="n">
        <f aca="false">INDEX('Cleaned Data'!$G$8:$G$507,MATCH(B13,'Cleaned Data'!$A$8:$A$507,0))</f>
        <v>2020</v>
      </c>
      <c r="D13" s="13" t="n">
        <f aca="false">INDEX('Cleaned Data'!$O$8:$O$507,MATCH(B13,'Cleaned Data'!$A$8:$A$507,0))</f>
        <v>6</v>
      </c>
      <c r="E13" s="14" t="n">
        <f aca="false">INDEX('Cleaned Data'!$H$8:$H$507,MATCH(B13,'Cleaned Data'!$A$8:$A$507,0))</f>
        <v>33179.8</v>
      </c>
      <c r="F13" s="14" t="n">
        <f aca="false">INDEX('Cleaned Data'!$P$8:$P$507,MATCH(B13,'Cleaned Data'!$A$8:$A$507,0))</f>
        <v>5529.96666666667</v>
      </c>
    </row>
    <row r="14" customFormat="false" ht="15" hidden="false" customHeight="false" outlineLevel="0" collapsed="false">
      <c r="A14" s="10" t="n">
        <v>7</v>
      </c>
      <c r="B14" s="10" t="s">
        <v>38</v>
      </c>
      <c r="C14" s="16" t="n">
        <f aca="false">INDEX('Cleaned Data'!$G$8:$G$507,MATCH(B14,'Cleaned Data'!$A$8:$A$507,0))</f>
        <v>2015</v>
      </c>
      <c r="D14" s="13" t="n">
        <f aca="false">INDEX('Cleaned Data'!$O$8:$O$507,MATCH(B14,'Cleaned Data'!$A$8:$A$507,0))</f>
        <v>11</v>
      </c>
      <c r="E14" s="14" t="n">
        <f aca="false">INDEX('Cleaned Data'!$H$8:$H$507,MATCH(B14,'Cleaned Data'!$A$8:$A$507,0))</f>
        <v>58049.5</v>
      </c>
      <c r="F14" s="14" t="n">
        <f aca="false">INDEX('Cleaned Data'!$P$8:$P$507,MATCH(B14,'Cleaned Data'!$A$8:$A$507,0))</f>
        <v>5277.22727272727</v>
      </c>
    </row>
    <row r="15" customFormat="false" ht="15" hidden="false" customHeight="false" outlineLevel="0" collapsed="false">
      <c r="A15" s="10" t="n">
        <v>8</v>
      </c>
      <c r="B15" s="10" t="s">
        <v>30</v>
      </c>
      <c r="C15" s="16" t="n">
        <f aca="false">INDEX('Cleaned Data'!$G$8:$G$507,MATCH(B15,'Cleaned Data'!$A$8:$A$507,0))</f>
        <v>2013</v>
      </c>
      <c r="D15" s="13" t="n">
        <f aca="false">INDEX('Cleaned Data'!$O$8:$O$507,MATCH(B15,'Cleaned Data'!$A$8:$A$507,0))</f>
        <v>13</v>
      </c>
      <c r="E15" s="14" t="n">
        <f aca="false">INDEX('Cleaned Data'!$H$8:$H$507,MATCH(B15,'Cleaned Data'!$A$8:$A$507,0))</f>
        <v>68298.9</v>
      </c>
      <c r="F15" s="14" t="n">
        <f aca="false">INDEX('Cleaned Data'!$P$8:$P$507,MATCH(B15,'Cleaned Data'!$A$8:$A$507,0))</f>
        <v>5253.76153846154</v>
      </c>
    </row>
    <row r="16" customFormat="false" ht="15" hidden="false" customHeight="false" outlineLevel="0" collapsed="false">
      <c r="A16" s="10" t="n">
        <v>9</v>
      </c>
      <c r="B16" s="10" t="s">
        <v>31</v>
      </c>
      <c r="C16" s="16" t="n">
        <f aca="false">INDEX('Cleaned Data'!$G$8:$G$507,MATCH(B16,'Cleaned Data'!$A$8:$A$507,0))</f>
        <v>2013</v>
      </c>
      <c r="D16" s="13" t="n">
        <f aca="false">INDEX('Cleaned Data'!$O$8:$O$507,MATCH(B16,'Cleaned Data'!$A$8:$A$507,0))</f>
        <v>13</v>
      </c>
      <c r="E16" s="14" t="n">
        <f aca="false">INDEX('Cleaned Data'!$H$8:$H$507,MATCH(B16,'Cleaned Data'!$A$8:$A$507,0))</f>
        <v>65349.7</v>
      </c>
      <c r="F16" s="14" t="n">
        <f aca="false">INDEX('Cleaned Data'!$P$8:$P$507,MATCH(B16,'Cleaned Data'!$A$8:$A$507,0))</f>
        <v>5026.9</v>
      </c>
    </row>
    <row r="17" customFormat="false" ht="15" hidden="false" customHeight="false" outlineLevel="0" collapsed="false">
      <c r="A17" s="10" t="n">
        <v>10</v>
      </c>
      <c r="B17" s="10" t="s">
        <v>256</v>
      </c>
      <c r="C17" s="16" t="n">
        <f aca="false">INDEX('Cleaned Data'!$G$8:$G$507,MATCH(B17,'Cleaned Data'!$A$8:$A$507,0))</f>
        <v>2023</v>
      </c>
      <c r="D17" s="13" t="n">
        <f aca="false">INDEX('Cleaned Data'!$O$8:$O$507,MATCH(B17,'Cleaned Data'!$A$8:$A$507,0))</f>
        <v>3</v>
      </c>
      <c r="E17" s="14" t="n">
        <f aca="false">INDEX('Cleaned Data'!$H$8:$H$507,MATCH(B17,'Cleaned Data'!$A$8:$A$507,0))</f>
        <v>14166.6</v>
      </c>
      <c r="F17" s="14" t="n">
        <f aca="false">INDEX('Cleaned Data'!$P$8:$P$507,MATCH(B17,'Cleaned Data'!$A$8:$A$507,0))</f>
        <v>4722.2</v>
      </c>
    </row>
    <row r="18" customFormat="false" ht="15" hidden="false" customHeight="false" outlineLevel="0" collapsed="false">
      <c r="A18" s="10" t="n">
        <v>11</v>
      </c>
      <c r="B18" s="10" t="s">
        <v>29</v>
      </c>
      <c r="C18" s="16" t="n">
        <f aca="false">INDEX('Cleaned Data'!$G$8:$G$507,MATCH(B18,'Cleaned Data'!$A$8:$A$507,0))</f>
        <v>2009</v>
      </c>
      <c r="D18" s="13" t="n">
        <f aca="false">INDEX('Cleaned Data'!$O$8:$O$507,MATCH(B18,'Cleaned Data'!$A$8:$A$507,0))</f>
        <v>17</v>
      </c>
      <c r="E18" s="14" t="n">
        <f aca="false">INDEX('Cleaned Data'!$H$8:$H$507,MATCH(B18,'Cleaned Data'!$A$8:$A$507,0))</f>
        <v>78104.4</v>
      </c>
      <c r="F18" s="14" t="n">
        <f aca="false">INDEX('Cleaned Data'!$P$8:$P$507,MATCH(B18,'Cleaned Data'!$A$8:$A$507,0))</f>
        <v>4594.37647058824</v>
      </c>
    </row>
    <row r="19" customFormat="false" ht="15" hidden="false" customHeight="false" outlineLevel="0" collapsed="false">
      <c r="A19" s="10" t="n">
        <v>12</v>
      </c>
      <c r="B19" s="10" t="s">
        <v>33</v>
      </c>
      <c r="C19" s="16" t="n">
        <f aca="false">INDEX('Cleaned Data'!$G$8:$G$507,MATCH(B19,'Cleaned Data'!$A$8:$A$507,0))</f>
        <v>2011</v>
      </c>
      <c r="D19" s="13" t="n">
        <f aca="false">INDEX('Cleaned Data'!$O$8:$O$507,MATCH(B19,'Cleaned Data'!$A$8:$A$507,0))</f>
        <v>15</v>
      </c>
      <c r="E19" s="14" t="n">
        <f aca="false">INDEX('Cleaned Data'!$H$8:$H$507,MATCH(B19,'Cleaned Data'!$A$8:$A$507,0))</f>
        <v>64656.9</v>
      </c>
      <c r="F19" s="14" t="n">
        <f aca="false">INDEX('Cleaned Data'!$P$8:$P$507,MATCH(B19,'Cleaned Data'!$A$8:$A$507,0))</f>
        <v>4310.46</v>
      </c>
    </row>
    <row r="20" customFormat="false" ht="15" hidden="false" customHeight="false" outlineLevel="0" collapsed="false">
      <c r="A20" s="10" t="n">
        <v>13</v>
      </c>
      <c r="B20" s="10" t="s">
        <v>53</v>
      </c>
      <c r="C20" s="16" t="n">
        <f aca="false">INDEX('Cleaned Data'!$G$8:$G$507,MATCH(B20,'Cleaned Data'!$A$8:$A$507,0))</f>
        <v>2015</v>
      </c>
      <c r="D20" s="13" t="n">
        <f aca="false">INDEX('Cleaned Data'!$O$8:$O$507,MATCH(B20,'Cleaned Data'!$A$8:$A$507,0))</f>
        <v>11</v>
      </c>
      <c r="E20" s="14" t="n">
        <f aca="false">INDEX('Cleaned Data'!$H$8:$H$507,MATCH(B20,'Cleaned Data'!$A$8:$A$507,0))</f>
        <v>46276.4</v>
      </c>
      <c r="F20" s="14" t="n">
        <f aca="false">INDEX('Cleaned Data'!$P$8:$P$507,MATCH(B20,'Cleaned Data'!$A$8:$A$507,0))</f>
        <v>4206.94545454546</v>
      </c>
    </row>
    <row r="21" customFormat="false" ht="15" hidden="false" customHeight="false" outlineLevel="0" collapsed="false">
      <c r="A21" s="10" t="n">
        <v>14</v>
      </c>
      <c r="B21" s="10" t="s">
        <v>45</v>
      </c>
      <c r="C21" s="16" t="n">
        <f aca="false">INDEX('Cleaned Data'!$G$8:$G$507,MATCH(B21,'Cleaned Data'!$A$8:$A$507,0))</f>
        <v>2013</v>
      </c>
      <c r="D21" s="13" t="n">
        <f aca="false">INDEX('Cleaned Data'!$O$8:$O$507,MATCH(B21,'Cleaned Data'!$A$8:$A$507,0))</f>
        <v>13</v>
      </c>
      <c r="E21" s="14" t="n">
        <f aca="false">INDEX('Cleaned Data'!$H$8:$H$507,MATCH(B21,'Cleaned Data'!$A$8:$A$507,0))</f>
        <v>53308.9</v>
      </c>
      <c r="F21" s="14" t="n">
        <f aca="false">INDEX('Cleaned Data'!$P$8:$P$507,MATCH(B21,'Cleaned Data'!$A$8:$A$507,0))</f>
        <v>4100.68461538462</v>
      </c>
    </row>
    <row r="22" customFormat="false" ht="15" hidden="false" customHeight="false" outlineLevel="0" collapsed="false">
      <c r="A22" s="10" t="n">
        <v>15</v>
      </c>
      <c r="B22" s="10" t="s">
        <v>77</v>
      </c>
      <c r="C22" s="16" t="n">
        <f aca="false">INDEX('Cleaned Data'!$G$8:$G$507,MATCH(B22,'Cleaned Data'!$A$8:$A$507,0))</f>
        <v>2017</v>
      </c>
      <c r="D22" s="13" t="n">
        <f aca="false">INDEX('Cleaned Data'!$O$8:$O$507,MATCH(B22,'Cleaned Data'!$A$8:$A$507,0))</f>
        <v>9</v>
      </c>
      <c r="E22" s="14" t="n">
        <f aca="false">INDEX('Cleaned Data'!$H$8:$H$507,MATCH(B22,'Cleaned Data'!$A$8:$A$507,0))</f>
        <v>35931.9</v>
      </c>
      <c r="F22" s="14" t="n">
        <f aca="false">INDEX('Cleaned Data'!$P$8:$P$507,MATCH(B22,'Cleaned Data'!$A$8:$A$507,0))</f>
        <v>3992.43333333333</v>
      </c>
    </row>
    <row r="23" customFormat="false" ht="15" hidden="false" customHeight="false" outlineLevel="0" collapsed="false">
      <c r="A23" s="10" t="n">
        <v>16</v>
      </c>
      <c r="B23" s="10" t="s">
        <v>115</v>
      </c>
      <c r="C23" s="16" t="n">
        <f aca="false">INDEX('Cleaned Data'!$G$8:$G$507,MATCH(B23,'Cleaned Data'!$A$8:$A$507,0))</f>
        <v>2019</v>
      </c>
      <c r="D23" s="13" t="n">
        <f aca="false">INDEX('Cleaned Data'!$O$8:$O$507,MATCH(B23,'Cleaned Data'!$A$8:$A$507,0))</f>
        <v>7</v>
      </c>
      <c r="E23" s="14" t="n">
        <f aca="false">INDEX('Cleaned Data'!$H$8:$H$507,MATCH(B23,'Cleaned Data'!$A$8:$A$507,0))</f>
        <v>27406.8</v>
      </c>
      <c r="F23" s="14" t="n">
        <f aca="false">INDEX('Cleaned Data'!$P$8:$P$507,MATCH(B23,'Cleaned Data'!$A$8:$A$507,0))</f>
        <v>3915.25714285714</v>
      </c>
    </row>
    <row r="24" customFormat="false" ht="15" hidden="false" customHeight="false" outlineLevel="0" collapsed="false">
      <c r="A24" s="10" t="n">
        <v>17</v>
      </c>
      <c r="B24" s="10" t="s">
        <v>62</v>
      </c>
      <c r="C24" s="16" t="n">
        <f aca="false">INDEX('Cleaned Data'!$G$8:$G$507,MATCH(B24,'Cleaned Data'!$A$8:$A$507,0))</f>
        <v>2015</v>
      </c>
      <c r="D24" s="13" t="n">
        <f aca="false">INDEX('Cleaned Data'!$O$8:$O$507,MATCH(B24,'Cleaned Data'!$A$8:$A$507,0))</f>
        <v>11</v>
      </c>
      <c r="E24" s="14" t="n">
        <f aca="false">INDEX('Cleaned Data'!$H$8:$H$507,MATCH(B24,'Cleaned Data'!$A$8:$A$507,0))</f>
        <v>41944.1</v>
      </c>
      <c r="F24" s="14" t="n">
        <f aca="false">INDEX('Cleaned Data'!$P$8:$P$507,MATCH(B24,'Cleaned Data'!$A$8:$A$507,0))</f>
        <v>3813.1</v>
      </c>
    </row>
    <row r="25" customFormat="false" ht="15" hidden="false" customHeight="false" outlineLevel="0" collapsed="false">
      <c r="A25" s="10" t="n">
        <v>18</v>
      </c>
      <c r="B25" s="10" t="s">
        <v>41</v>
      </c>
      <c r="C25" s="16" t="n">
        <f aca="false">INDEX('Cleaned Data'!$G$8:$G$507,MATCH(B25,'Cleaned Data'!$A$8:$A$507,0))</f>
        <v>2011</v>
      </c>
      <c r="D25" s="13" t="n">
        <f aca="false">INDEX('Cleaned Data'!$O$8:$O$507,MATCH(B25,'Cleaned Data'!$A$8:$A$507,0))</f>
        <v>15</v>
      </c>
      <c r="E25" s="14" t="n">
        <f aca="false">INDEX('Cleaned Data'!$H$8:$H$507,MATCH(B25,'Cleaned Data'!$A$8:$A$507,0))</f>
        <v>55028.3</v>
      </c>
      <c r="F25" s="14" t="n">
        <f aca="false">INDEX('Cleaned Data'!$P$8:$P$507,MATCH(B25,'Cleaned Data'!$A$8:$A$507,0))</f>
        <v>3668.55333333333</v>
      </c>
    </row>
    <row r="26" customFormat="false" ht="15" hidden="false" customHeight="false" outlineLevel="0" collapsed="false">
      <c r="A26" s="10" t="n">
        <v>19</v>
      </c>
      <c r="B26" s="10" t="s">
        <v>80</v>
      </c>
      <c r="C26" s="16" t="n">
        <f aca="false">INDEX('Cleaned Data'!$G$8:$G$507,MATCH(B26,'Cleaned Data'!$A$8:$A$507,0))</f>
        <v>2016</v>
      </c>
      <c r="D26" s="13" t="n">
        <f aca="false">INDEX('Cleaned Data'!$O$8:$O$507,MATCH(B26,'Cleaned Data'!$A$8:$A$507,0))</f>
        <v>10</v>
      </c>
      <c r="E26" s="14" t="n">
        <f aca="false">INDEX('Cleaned Data'!$H$8:$H$507,MATCH(B26,'Cleaned Data'!$A$8:$A$507,0))</f>
        <v>35727.2</v>
      </c>
      <c r="F26" s="14" t="n">
        <f aca="false">INDEX('Cleaned Data'!$P$8:$P$507,MATCH(B26,'Cleaned Data'!$A$8:$A$507,0))</f>
        <v>3572.72</v>
      </c>
    </row>
    <row r="27" customFormat="false" ht="15" hidden="false" customHeight="false" outlineLevel="0" collapsed="false">
      <c r="A27" s="10" t="n">
        <v>20</v>
      </c>
      <c r="B27" s="10" t="s">
        <v>39</v>
      </c>
      <c r="C27" s="16" t="n">
        <f aca="false">INDEX('Cleaned Data'!$G$8:$G$507,MATCH(B27,'Cleaned Data'!$A$8:$A$507,0))</f>
        <v>2010</v>
      </c>
      <c r="D27" s="13" t="n">
        <f aca="false">INDEX('Cleaned Data'!$O$8:$O$507,MATCH(B27,'Cleaned Data'!$A$8:$A$507,0))</f>
        <v>16</v>
      </c>
      <c r="E27" s="14" t="n">
        <f aca="false">INDEX('Cleaned Data'!$H$8:$H$507,MATCH(B27,'Cleaned Data'!$A$8:$A$507,0))</f>
        <v>56727.1</v>
      </c>
      <c r="F27" s="14" t="n">
        <f aca="false">INDEX('Cleaned Data'!$P$8:$P$507,MATCH(B27,'Cleaned Data'!$A$8:$A$507,0))</f>
        <v>3545.44375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5" t="s">
        <v>643</v>
      </c>
      <c r="B1" s="5"/>
      <c r="C1" s="5"/>
      <c r="D1" s="5"/>
      <c r="E1" s="5"/>
    </row>
    <row r="3" customFormat="false" ht="15" hidden="false" customHeight="false" outlineLevel="0" collapsed="false">
      <c r="A3" s="12" t="s">
        <v>644</v>
      </c>
    </row>
    <row r="4" customFormat="false" ht="15" hidden="false" customHeight="false" outlineLevel="0" collapsed="false">
      <c r="A4" s="10" t="s">
        <v>645</v>
      </c>
      <c r="B4" s="17" t="n">
        <f aca="false">CORREL('Cleaned Data'!$N$8:$N$507,'Cleaned Data'!$H$8:$H$507)</f>
        <v>0.0374874722929959</v>
      </c>
    </row>
    <row r="5" customFormat="false" ht="15" hidden="false" customHeight="false" outlineLevel="0" collapsed="false">
      <c r="A5" s="18" t="s">
        <v>646</v>
      </c>
      <c r="B5" s="18"/>
      <c r="C5" s="18"/>
      <c r="D5" s="18"/>
    </row>
    <row r="7" customFormat="false" ht="15" hidden="false" customHeight="false" outlineLevel="0" collapsed="false">
      <c r="A7" s="12" t="s">
        <v>647</v>
      </c>
    </row>
    <row r="8" customFormat="false" ht="26.85" hidden="false" customHeight="false" outlineLevel="0" collapsed="false">
      <c r="A8" s="1" t="s">
        <v>648</v>
      </c>
      <c r="B8" s="1" t="s">
        <v>649</v>
      </c>
      <c r="C8" s="1" t="s">
        <v>650</v>
      </c>
    </row>
    <row r="9" customFormat="false" ht="15" hidden="false" customHeight="false" outlineLevel="0" collapsed="false">
      <c r="A9" s="10" t="s">
        <v>651</v>
      </c>
      <c r="B9" s="13" t="n">
        <f aca="false">COUNTIFS('Cleaned Data'!$N$8:$N$507,"&gt;="&amp;0,'Cleaned Data'!$N$8:$N$507,"&lt;="&amp;25)</f>
        <v>163</v>
      </c>
      <c r="C9" s="14" t="n">
        <f aca="false">AVERAGEIFS('Cleaned Data'!$H$8:$H$507,'Cleaned Data'!$N$8:$N$507,"&gt;="&amp;0,'Cleaned Data'!$N$8:$N$507,"&lt;="&amp;25)</f>
        <v>14261.4539877301</v>
      </c>
    </row>
    <row r="10" customFormat="false" ht="15" hidden="false" customHeight="false" outlineLevel="0" collapsed="false">
      <c r="A10" s="10" t="s">
        <v>652</v>
      </c>
      <c r="B10" s="13" t="n">
        <f aca="false">COUNTIFS('Cleaned Data'!$N$8:$N$507,"&gt;"&amp;25,'Cleaned Data'!$N$8:$N$507,"&lt;="&amp;50)</f>
        <v>75</v>
      </c>
      <c r="C10" s="14" t="n">
        <f aca="false">AVERAGEIFS('Cleaned Data'!$H$8:$H$507,'Cleaned Data'!$N$8:$N$507,"&gt;"&amp;25,'Cleaned Data'!$N$8:$N$507,"&lt;="&amp;50)</f>
        <v>19946.4093333333</v>
      </c>
    </row>
    <row r="11" customFormat="false" ht="15" hidden="false" customHeight="false" outlineLevel="0" collapsed="false">
      <c r="A11" s="10" t="s">
        <v>653</v>
      </c>
      <c r="B11" s="13" t="n">
        <f aca="false">COUNTIFS('Cleaned Data'!$N$8:$N$507,"&gt;"&amp;50,'Cleaned Data'!$N$8:$N$507,"&lt;="&amp;75)</f>
        <v>116</v>
      </c>
      <c r="C11" s="14" t="n">
        <f aca="false">AVERAGEIFS('Cleaned Data'!$H$8:$H$507,'Cleaned Data'!$N$8:$N$507,"&gt;"&amp;50,'Cleaned Data'!$N$8:$N$507,"&lt;="&amp;75)</f>
        <v>20433.3586206897</v>
      </c>
    </row>
    <row r="12" customFormat="false" ht="15" hidden="false" customHeight="false" outlineLevel="0" collapsed="false">
      <c r="A12" s="10" t="s">
        <v>654</v>
      </c>
      <c r="B12" s="13" t="n">
        <f aca="false">COUNTIFS('Cleaned Data'!$N$8:$N$507,"&gt;"&amp;75,'Cleaned Data'!$N$8:$N$507,"&lt;="&amp;100.01)</f>
        <v>146</v>
      </c>
      <c r="C12" s="14" t="n">
        <f aca="false">AVERAGEIFS('Cleaned Data'!$H$8:$H$507,'Cleaned Data'!$N$8:$N$507,"&gt;"&amp;75,'Cleaned Data'!$N$8:$N$507,"&lt;="&amp;100.01)</f>
        <v>15191.3547945205</v>
      </c>
    </row>
    <row r="14" customFormat="false" ht="15" hidden="false" customHeight="false" outlineLevel="0" collapsed="false">
      <c r="A14" s="12" t="s">
        <v>655</v>
      </c>
    </row>
    <row r="15" customFormat="false" ht="26.85" hidden="false" customHeight="false" outlineLevel="0" collapsed="false">
      <c r="A15" s="1" t="s">
        <v>634</v>
      </c>
      <c r="B15" s="1" t="s">
        <v>649</v>
      </c>
      <c r="C15" s="1" t="s">
        <v>656</v>
      </c>
      <c r="D15" s="1" t="s">
        <v>650</v>
      </c>
    </row>
    <row r="16" customFormat="false" ht="15" hidden="false" customHeight="false" outlineLevel="0" collapsed="false">
      <c r="A16" s="10" t="s">
        <v>18</v>
      </c>
      <c r="B16" s="13" t="n">
        <f aca="false">COUNTIF('Cleaned Data'!$E$8:$E$507,A16)</f>
        <v>115</v>
      </c>
      <c r="C16" s="19" t="n">
        <f aca="false">AVERAGEIF('Cleaned Data'!$E$8:$E$507,A16,'Cleaned Data'!$N$8:$N$507)</f>
        <v>66.9228260297391</v>
      </c>
      <c r="D16" s="14" t="n">
        <f aca="false">AVERAGEIF('Cleaned Data'!$E$8:$E$507,A16,'Cleaned Data'!$H$8:$H$507)</f>
        <v>18487.4356521739</v>
      </c>
    </row>
    <row r="17" customFormat="false" ht="15" hidden="false" customHeight="false" outlineLevel="0" collapsed="false">
      <c r="A17" s="10" t="s">
        <v>23</v>
      </c>
      <c r="B17" s="13" t="n">
        <f aca="false">COUNTIF('Cleaned Data'!$E$8:$E$507,A17)</f>
        <v>102</v>
      </c>
      <c r="C17" s="19" t="n">
        <f aca="false">AVERAGEIF('Cleaned Data'!$E$8:$E$507,A17,'Cleaned Data'!$N$8:$N$507)</f>
        <v>38.7845387417587</v>
      </c>
      <c r="D17" s="14" t="n">
        <f aca="false">AVERAGEIF('Cleaned Data'!$E$8:$E$507,A17,'Cleaned Data'!$H$8:$H$507)</f>
        <v>19643.1549019608</v>
      </c>
    </row>
    <row r="18" customFormat="false" ht="15" hidden="false" customHeight="false" outlineLevel="0" collapsed="false">
      <c r="A18" s="10" t="s">
        <v>26</v>
      </c>
      <c r="B18" s="13" t="n">
        <f aca="false">COUNTIF('Cleaned Data'!$E$8:$E$507,A18)</f>
        <v>43</v>
      </c>
      <c r="C18" s="19" t="n">
        <f aca="false">AVERAGEIF('Cleaned Data'!$E$8:$E$507,A18,'Cleaned Data'!$N$8:$N$507)</f>
        <v>83.6166880211628</v>
      </c>
      <c r="D18" s="14" t="n">
        <f aca="false">AVERAGEIF('Cleaned Data'!$E$8:$E$507,A18,'Cleaned Data'!$H$8:$H$507)</f>
        <v>20671.0488372093</v>
      </c>
    </row>
    <row r="19" customFormat="false" ht="15" hidden="false" customHeight="false" outlineLevel="0" collapsed="false">
      <c r="A19" s="10" t="s">
        <v>52</v>
      </c>
      <c r="B19" s="13" t="n">
        <f aca="false">COUNTIF('Cleaned Data'!$E$8:$E$507,A19)</f>
        <v>60</v>
      </c>
      <c r="C19" s="19" t="n">
        <f aca="false">AVERAGEIF('Cleaned Data'!$E$8:$E$507,A19,'Cleaned Data'!$N$8:$N$507)</f>
        <v>6.17029635788087</v>
      </c>
      <c r="D19" s="14" t="n">
        <f aca="false">AVERAGEIF('Cleaned Data'!$E$8:$E$507,A19,'Cleaned Data'!$H$8:$H$507)</f>
        <v>13534.71</v>
      </c>
    </row>
    <row r="20" customFormat="false" ht="15" hidden="false" customHeight="false" outlineLevel="0" collapsed="false">
      <c r="A20" s="10" t="s">
        <v>28</v>
      </c>
      <c r="B20" s="13" t="n">
        <f aca="false">COUNTIF('Cleaned Data'!$E$8:$E$507,A20)</f>
        <v>31</v>
      </c>
      <c r="C20" s="19" t="n">
        <f aca="false">AVERAGEIF('Cleaned Data'!$E$8:$E$507,A20,'Cleaned Data'!$N$8:$N$507)</f>
        <v>53.8330026358065</v>
      </c>
      <c r="D20" s="14" t="n">
        <f aca="false">AVERAGEIF('Cleaned Data'!$E$8:$E$507,A20,'Cleaned Data'!$H$8:$H$507)</f>
        <v>18409.6258064516</v>
      </c>
    </row>
  </sheetData>
  <mergeCells count="2">
    <mergeCell ref="A1:E1"/>
    <mergeCell ref="A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5" t="s">
        <v>657</v>
      </c>
      <c r="B1" s="5"/>
      <c r="C1" s="5"/>
      <c r="D1" s="5"/>
      <c r="E1" s="5"/>
      <c r="F1" s="5"/>
    </row>
    <row r="3" customFormat="false" ht="39.75" hidden="false" customHeight="true" outlineLevel="0" collapsed="false">
      <c r="A3" s="6" t="s">
        <v>658</v>
      </c>
      <c r="B3" s="6"/>
      <c r="C3" s="6"/>
      <c r="D3" s="6"/>
      <c r="E3" s="6"/>
      <c r="F3" s="6"/>
    </row>
    <row r="6" customFormat="false" ht="15" hidden="false" customHeight="false" outlineLevel="0" collapsed="false">
      <c r="A6" s="12" t="s">
        <v>659</v>
      </c>
    </row>
    <row r="7" customFormat="false" ht="15" hidden="false" customHeight="false" outlineLevel="0" collapsed="false">
      <c r="A7" s="10" t="s">
        <v>660</v>
      </c>
      <c r="B7" s="14" t="n">
        <f aca="false">AVERAGE('Cleaned Data'!$H$8:$H$507)</f>
        <v>16817.6102</v>
      </c>
    </row>
    <row r="8" customFormat="false" ht="15" hidden="false" customHeight="false" outlineLevel="0" collapsed="false">
      <c r="A8" s="10" t="s">
        <v>661</v>
      </c>
      <c r="B8" s="14" t="n">
        <f aca="false">MEDIAN(B12:B34)</f>
        <v>9</v>
      </c>
    </row>
    <row r="10" customFormat="false" ht="15" hidden="false" customHeight="false" outlineLevel="0" collapsed="false">
      <c r="A10" s="12" t="s">
        <v>662</v>
      </c>
    </row>
    <row r="11" customFormat="false" ht="26.85" hidden="false" customHeight="false" outlineLevel="0" collapsed="false">
      <c r="A11" s="1" t="s">
        <v>634</v>
      </c>
      <c r="B11" s="1" t="s">
        <v>649</v>
      </c>
      <c r="C11" s="1" t="s">
        <v>663</v>
      </c>
      <c r="D11" s="1" t="s">
        <v>664</v>
      </c>
      <c r="E11" s="1" t="s">
        <v>665</v>
      </c>
    </row>
    <row r="12" customFormat="false" ht="15" hidden="false" customHeight="false" outlineLevel="0" collapsed="false">
      <c r="A12" s="10" t="s">
        <v>131</v>
      </c>
      <c r="B12" s="13" t="n">
        <f aca="false">COUNTIF('Cleaned Data'!$E$8:$E$507,A12)</f>
        <v>1</v>
      </c>
      <c r="C12" s="14" t="n">
        <f aca="false">AVERAGEIF('Cleaned Data'!$E$8:$E$507,A12,'Cleaned Data'!$H$8:$H$507)</f>
        <v>24607</v>
      </c>
      <c r="D12" s="10" t="str">
        <f aca="false">IF(B12&gt;=5,"Yes","No (n&lt;5)")</f>
        <v>No (n&lt;5)</v>
      </c>
      <c r="E12" s="10" t="str">
        <f aca="false">IF(AND(C12&gt;$B$7,B12&lt;$B$8),"Whitespace opportunity",IF(AND(C12&gt;$B$7,B12&gt;=$B$8),"Saturated (strong but crowded)",IF(AND(C12&lt;=$B$7,B12&lt;$B$8),"Niche (small &amp; below avg)","Low priority (crowded &amp; below avg)")))</f>
        <v>Whitespace opportunity</v>
      </c>
    </row>
    <row r="13" customFormat="false" ht="15" hidden="false" customHeight="false" outlineLevel="0" collapsed="false">
      <c r="A13" s="10" t="s">
        <v>26</v>
      </c>
      <c r="B13" s="13" t="n">
        <f aca="false">COUNTIF('Cleaned Data'!$E$8:$E$507,A13)</f>
        <v>43</v>
      </c>
      <c r="C13" s="14" t="n">
        <f aca="false">AVERAGEIF('Cleaned Data'!$E$8:$E$507,A13,'Cleaned Data'!$H$8:$H$507)</f>
        <v>20671.0488372093</v>
      </c>
      <c r="D13" s="10" t="str">
        <f aca="false">IF(B13&gt;=5,"Yes","No (n&lt;5)")</f>
        <v>Yes</v>
      </c>
      <c r="E13" s="10" t="str">
        <f aca="false">IF(AND(C13&gt;$B$7,B13&lt;$B$8),"Whitespace opportunity",IF(AND(C13&gt;$B$7,B13&gt;=$B$8),"Saturated (strong but crowded)",IF(AND(C13&lt;=$B$7,B13&lt;$B$8),"Niche (small &amp; below avg)","Low priority (crowded &amp; below avg)")))</f>
        <v>Saturated (strong but crowded)</v>
      </c>
    </row>
    <row r="14" customFormat="false" ht="15" hidden="false" customHeight="false" outlineLevel="0" collapsed="false">
      <c r="A14" s="10" t="s">
        <v>23</v>
      </c>
      <c r="B14" s="13" t="n">
        <f aca="false">COUNTIF('Cleaned Data'!$E$8:$E$507,A14)</f>
        <v>102</v>
      </c>
      <c r="C14" s="14" t="n">
        <f aca="false">AVERAGEIF('Cleaned Data'!$E$8:$E$507,A14,'Cleaned Data'!$H$8:$H$507)</f>
        <v>19643.1549019608</v>
      </c>
      <c r="D14" s="10" t="str">
        <f aca="false">IF(B14&gt;=5,"Yes","No (n&lt;5)")</f>
        <v>Yes</v>
      </c>
      <c r="E14" s="10" t="str">
        <f aca="false">IF(AND(C14&gt;$B$7,B14&lt;$B$8),"Whitespace opportunity",IF(AND(C14&gt;$B$7,B14&gt;=$B$8),"Saturated (strong but crowded)",IF(AND(C14&lt;=$B$7,B14&lt;$B$8),"Niche (small &amp; below avg)","Low priority (crowded &amp; below avg)")))</f>
        <v>Saturated (strong but crowded)</v>
      </c>
    </row>
    <row r="15" customFormat="false" ht="15" hidden="false" customHeight="false" outlineLevel="0" collapsed="false">
      <c r="A15" s="10" t="s">
        <v>18</v>
      </c>
      <c r="B15" s="13" t="n">
        <f aca="false">COUNTIF('Cleaned Data'!$E$8:$E$507,A15)</f>
        <v>115</v>
      </c>
      <c r="C15" s="14" t="n">
        <f aca="false">AVERAGEIF('Cleaned Data'!$E$8:$E$507,A15,'Cleaned Data'!$H$8:$H$507)</f>
        <v>18487.4356521739</v>
      </c>
      <c r="D15" s="10" t="str">
        <f aca="false">IF(B15&gt;=5,"Yes","No (n&lt;5)")</f>
        <v>Yes</v>
      </c>
      <c r="E15" s="10" t="str">
        <f aca="false">IF(AND(C15&gt;$B$7,B15&lt;$B$8),"Whitespace opportunity",IF(AND(C15&gt;$B$7,B15&gt;=$B$8),"Saturated (strong but crowded)",IF(AND(C15&lt;=$B$7,B15&lt;$B$8),"Niche (small &amp; below avg)","Low priority (crowded &amp; below avg)")))</f>
        <v>Saturated (strong but crowded)</v>
      </c>
    </row>
    <row r="16" customFormat="false" ht="15" hidden="false" customHeight="false" outlineLevel="0" collapsed="false">
      <c r="A16" s="10" t="s">
        <v>28</v>
      </c>
      <c r="B16" s="13" t="n">
        <f aca="false">COUNTIF('Cleaned Data'!$E$8:$E$507,A16)</f>
        <v>31</v>
      </c>
      <c r="C16" s="14" t="n">
        <f aca="false">AVERAGEIF('Cleaned Data'!$E$8:$E$507,A16,'Cleaned Data'!$H$8:$H$507)</f>
        <v>18409.6258064516</v>
      </c>
      <c r="D16" s="10" t="str">
        <f aca="false">IF(B16&gt;=5,"Yes","No (n&lt;5)")</f>
        <v>Yes</v>
      </c>
      <c r="E16" s="10" t="str">
        <f aca="false">IF(AND(C16&gt;$B$7,B16&lt;$B$8),"Whitespace opportunity",IF(AND(C16&gt;$B$7,B16&gt;=$B$8),"Saturated (strong but crowded)",IF(AND(C16&lt;=$B$7,B16&lt;$B$8),"Niche (small &amp; below avg)","Low priority (crowded &amp; below avg)")))</f>
        <v>Saturated (strong but crowded)</v>
      </c>
    </row>
    <row r="17" customFormat="false" ht="15" hidden="false" customHeight="false" outlineLevel="0" collapsed="false">
      <c r="A17" s="10" t="s">
        <v>61</v>
      </c>
      <c r="B17" s="13" t="n">
        <f aca="false">COUNTIF('Cleaned Data'!$E$8:$E$507,A17)</f>
        <v>22</v>
      </c>
      <c r="C17" s="14" t="n">
        <f aca="false">AVERAGEIF('Cleaned Data'!$E$8:$E$507,A17,'Cleaned Data'!$H$8:$H$507)</f>
        <v>16686.2227272727</v>
      </c>
      <c r="D17" s="10" t="str">
        <f aca="false">IF(B17&gt;=5,"Yes","No (n&lt;5)")</f>
        <v>Yes</v>
      </c>
      <c r="E17" s="10" t="str">
        <f aca="false">IF(AND(C17&gt;$B$7,B17&lt;$B$8),"Whitespace opportunity",IF(AND(C17&gt;$B$7,B17&gt;=$B$8),"Saturated (strong but crowded)",IF(AND(C17&lt;=$B$7,B17&lt;$B$8),"Niche (small &amp; below avg)","Low priority (crowded &amp; below avg)")))</f>
        <v>Low priority (crowded &amp; below avg)</v>
      </c>
    </row>
    <row r="18" customFormat="false" ht="15" hidden="false" customHeight="false" outlineLevel="0" collapsed="false">
      <c r="A18" s="10" t="s">
        <v>185</v>
      </c>
      <c r="B18" s="13" t="n">
        <f aca="false">COUNTIF('Cleaned Data'!$E$8:$E$507,A18)</f>
        <v>2</v>
      </c>
      <c r="C18" s="14" t="n">
        <f aca="false">AVERAGEIF('Cleaned Data'!$E$8:$E$507,A18,'Cleaned Data'!$H$8:$H$507)</f>
        <v>16598</v>
      </c>
      <c r="D18" s="10" t="str">
        <f aca="false">IF(B18&gt;=5,"Yes","No (n&lt;5)")</f>
        <v>No (n&lt;5)</v>
      </c>
      <c r="E18" s="10" t="str">
        <f aca="false">IF(AND(C18&gt;$B$7,B18&lt;$B$8),"Whitespace opportunity",IF(AND(C18&gt;$B$7,B18&gt;=$B$8),"Saturated (strong but crowded)",IF(AND(C18&lt;=$B$7,B18&lt;$B$8),"Niche (small &amp; below avg)","Low priority (crowded &amp; below avg)")))</f>
        <v>Niche (small &amp; below avg)</v>
      </c>
    </row>
    <row r="19" customFormat="false" ht="15" hidden="false" customHeight="false" outlineLevel="0" collapsed="false">
      <c r="A19" s="10" t="s">
        <v>58</v>
      </c>
      <c r="B19" s="13" t="n">
        <f aca="false">COUNTIF('Cleaned Data'!$E$8:$E$507,A19)</f>
        <v>9</v>
      </c>
      <c r="C19" s="14" t="n">
        <f aca="false">AVERAGEIF('Cleaned Data'!$E$8:$E$507,A19,'Cleaned Data'!$H$8:$H$507)</f>
        <v>16469.7</v>
      </c>
      <c r="D19" s="10" t="str">
        <f aca="false">IF(B19&gt;=5,"Yes","No (n&lt;5)")</f>
        <v>Yes</v>
      </c>
      <c r="E19" s="10" t="str">
        <f aca="false">IF(AND(C19&gt;$B$7,B19&lt;$B$8),"Whitespace opportunity",IF(AND(C19&gt;$B$7,B19&gt;=$B$8),"Saturated (strong but crowded)",IF(AND(C19&lt;=$B$7,B19&lt;$B$8),"Niche (small &amp; below avg)","Low priority (crowded &amp; below avg)")))</f>
        <v>Low priority (crowded &amp; below avg)</v>
      </c>
    </row>
    <row r="20" customFormat="false" ht="15" hidden="false" customHeight="false" outlineLevel="0" collapsed="false">
      <c r="A20" s="10" t="s">
        <v>48</v>
      </c>
      <c r="B20" s="13" t="n">
        <f aca="false">COUNTIF('Cleaned Data'!$E$8:$E$507,A20)</f>
        <v>11</v>
      </c>
      <c r="C20" s="14" t="n">
        <f aca="false">AVERAGEIF('Cleaned Data'!$E$8:$E$507,A20,'Cleaned Data'!$H$8:$H$507)</f>
        <v>14303.5181818182</v>
      </c>
      <c r="D20" s="10" t="str">
        <f aca="false">IF(B20&gt;=5,"Yes","No (n&lt;5)")</f>
        <v>Yes</v>
      </c>
      <c r="E20" s="10" t="str">
        <f aca="false">IF(AND(C20&gt;$B$7,B20&lt;$B$8),"Whitespace opportunity",IF(AND(C20&gt;$B$7,B20&gt;=$B$8),"Saturated (strong but crowded)",IF(AND(C20&lt;=$B$7,B20&lt;$B$8),"Niche (small &amp; below avg)","Low priority (crowded &amp; below avg)")))</f>
        <v>Low priority (crowded &amp; below avg)</v>
      </c>
    </row>
    <row r="21" customFormat="false" ht="15" hidden="false" customHeight="false" outlineLevel="0" collapsed="false">
      <c r="A21" s="10" t="s">
        <v>74</v>
      </c>
      <c r="B21" s="13" t="n">
        <f aca="false">COUNTIF('Cleaned Data'!$E$8:$E$507,A21)</f>
        <v>11</v>
      </c>
      <c r="C21" s="14" t="n">
        <f aca="false">AVERAGEIF('Cleaned Data'!$E$8:$E$507,A21,'Cleaned Data'!$H$8:$H$507)</f>
        <v>13759.8090909091</v>
      </c>
      <c r="D21" s="10" t="str">
        <f aca="false">IF(B21&gt;=5,"Yes","No (n&lt;5)")</f>
        <v>Yes</v>
      </c>
      <c r="E21" s="10" t="str">
        <f aca="false">IF(AND(C21&gt;$B$7,B21&lt;$B$8),"Whitespace opportunity",IF(AND(C21&gt;$B$7,B21&gt;=$B$8),"Saturated (strong but crowded)",IF(AND(C21&lt;=$B$7,B21&lt;$B$8),"Niche (small &amp; below avg)","Low priority (crowded &amp; below avg)")))</f>
        <v>Low priority (crowded &amp; below avg)</v>
      </c>
    </row>
    <row r="22" customFormat="false" ht="15" hidden="false" customHeight="false" outlineLevel="0" collapsed="false">
      <c r="A22" s="10" t="s">
        <v>140</v>
      </c>
      <c r="B22" s="13" t="n">
        <f aca="false">COUNTIF('Cleaned Data'!$E$8:$E$507,A22)</f>
        <v>3</v>
      </c>
      <c r="C22" s="14" t="n">
        <f aca="false">AVERAGEIF('Cleaned Data'!$E$8:$E$507,A22,'Cleaned Data'!$H$8:$H$507)</f>
        <v>13730.4333333333</v>
      </c>
      <c r="D22" s="10" t="str">
        <f aca="false">IF(B22&gt;=5,"Yes","No (n&lt;5)")</f>
        <v>No (n&lt;5)</v>
      </c>
      <c r="E22" s="10" t="str">
        <f aca="false">IF(AND(C22&gt;$B$7,B22&lt;$B$8),"Whitespace opportunity",IF(AND(C22&gt;$B$7,B22&gt;=$B$8),"Saturated (strong but crowded)",IF(AND(C22&lt;=$B$7,B22&lt;$B$8),"Niche (small &amp; below avg)","Low priority (crowded &amp; below avg)")))</f>
        <v>Niche (small &amp; below avg)</v>
      </c>
    </row>
    <row r="23" customFormat="false" ht="15" hidden="false" customHeight="false" outlineLevel="0" collapsed="false">
      <c r="A23" s="10" t="s">
        <v>152</v>
      </c>
      <c r="B23" s="13" t="n">
        <f aca="false">COUNTIF('Cleaned Data'!$E$8:$E$507,A23)</f>
        <v>3</v>
      </c>
      <c r="C23" s="14" t="n">
        <f aca="false">AVERAGEIF('Cleaned Data'!$E$8:$E$507,A23,'Cleaned Data'!$H$8:$H$507)</f>
        <v>13550.4666666667</v>
      </c>
      <c r="D23" s="10" t="str">
        <f aca="false">IF(B23&gt;=5,"Yes","No (n&lt;5)")</f>
        <v>No (n&lt;5)</v>
      </c>
      <c r="E23" s="10" t="str">
        <f aca="false">IF(AND(C23&gt;$B$7,B23&lt;$B$8),"Whitespace opportunity",IF(AND(C23&gt;$B$7,B23&gt;=$B$8),"Saturated (strong but crowded)",IF(AND(C23&lt;=$B$7,B23&lt;$B$8),"Niche (small &amp; below avg)","Low priority (crowded &amp; below avg)")))</f>
        <v>Niche (small &amp; below avg)</v>
      </c>
    </row>
    <row r="24" customFormat="false" ht="15" hidden="false" customHeight="false" outlineLevel="0" collapsed="false">
      <c r="A24" s="10" t="s">
        <v>52</v>
      </c>
      <c r="B24" s="13" t="n">
        <f aca="false">COUNTIF('Cleaned Data'!$E$8:$E$507,A24)</f>
        <v>60</v>
      </c>
      <c r="C24" s="14" t="n">
        <f aca="false">AVERAGEIF('Cleaned Data'!$E$8:$E$507,A24,'Cleaned Data'!$H$8:$H$507)</f>
        <v>13534.71</v>
      </c>
      <c r="D24" s="10" t="str">
        <f aca="false">IF(B24&gt;=5,"Yes","No (n&lt;5)")</f>
        <v>Yes</v>
      </c>
      <c r="E24" s="10" t="str">
        <f aca="false">IF(AND(C24&gt;$B$7,B24&lt;$B$8),"Whitespace opportunity",IF(AND(C24&gt;$B$7,B24&gt;=$B$8),"Saturated (strong but crowded)",IF(AND(C24&lt;=$B$7,B24&lt;$B$8),"Niche (small &amp; below avg)","Low priority (crowded &amp; below avg)")))</f>
        <v>Low priority (crowded &amp; below avg)</v>
      </c>
    </row>
    <row r="25" customFormat="false" ht="15" hidden="false" customHeight="false" outlineLevel="0" collapsed="false">
      <c r="A25" s="10" t="s">
        <v>91</v>
      </c>
      <c r="B25" s="13" t="n">
        <f aca="false">COUNTIF('Cleaned Data'!$E$8:$E$507,A25)</f>
        <v>19</v>
      </c>
      <c r="C25" s="14" t="n">
        <f aca="false">AVERAGEIF('Cleaned Data'!$E$8:$E$507,A25,'Cleaned Data'!$H$8:$H$507)</f>
        <v>13474.3947368421</v>
      </c>
      <c r="D25" s="10" t="str">
        <f aca="false">IF(B25&gt;=5,"Yes","No (n&lt;5)")</f>
        <v>Yes</v>
      </c>
      <c r="E25" s="10" t="str">
        <f aca="false">IF(AND(C25&gt;$B$7,B25&lt;$B$8),"Whitespace opportunity",IF(AND(C25&gt;$B$7,B25&gt;=$B$8),"Saturated (strong but crowded)",IF(AND(C25&lt;=$B$7,B25&lt;$B$8),"Niche (small &amp; below avg)","Low priority (crowded &amp; below avg)")))</f>
        <v>Low priority (crowded &amp; below avg)</v>
      </c>
    </row>
    <row r="26" customFormat="false" ht="15" hidden="false" customHeight="false" outlineLevel="0" collapsed="false">
      <c r="A26" s="10" t="s">
        <v>99</v>
      </c>
      <c r="B26" s="13" t="n">
        <f aca="false">COUNTIF('Cleaned Data'!$E$8:$E$507,A26)</f>
        <v>10</v>
      </c>
      <c r="C26" s="14" t="n">
        <f aca="false">AVERAGEIF('Cleaned Data'!$E$8:$E$507,A26,'Cleaned Data'!$H$8:$H$507)</f>
        <v>13028.62</v>
      </c>
      <c r="D26" s="10" t="str">
        <f aca="false">IF(B26&gt;=5,"Yes","No (n&lt;5)")</f>
        <v>Yes</v>
      </c>
      <c r="E26" s="10" t="str">
        <f aca="false">IF(AND(C26&gt;$B$7,B26&lt;$B$8),"Whitespace opportunity",IF(AND(C26&gt;$B$7,B26&gt;=$B$8),"Saturated (strong but crowded)",IF(AND(C26&lt;=$B$7,B26&lt;$B$8),"Niche (small &amp; below avg)","Low priority (crowded &amp; below avg)")))</f>
        <v>Low priority (crowded &amp; below avg)</v>
      </c>
    </row>
    <row r="27" customFormat="false" ht="15" hidden="false" customHeight="false" outlineLevel="0" collapsed="false">
      <c r="A27" s="10" t="s">
        <v>83</v>
      </c>
      <c r="B27" s="13" t="n">
        <f aca="false">COUNTIF('Cleaned Data'!$E$8:$E$507,A27)</f>
        <v>30</v>
      </c>
      <c r="C27" s="14" t="n">
        <f aca="false">AVERAGEIF('Cleaned Data'!$E$8:$E$507,A27,'Cleaned Data'!$H$8:$H$507)</f>
        <v>12598.7333333333</v>
      </c>
      <c r="D27" s="10" t="str">
        <f aca="false">IF(B27&gt;=5,"Yes","No (n&lt;5)")</f>
        <v>Yes</v>
      </c>
      <c r="E27" s="10" t="str">
        <f aca="false">IF(AND(C27&gt;$B$7,B27&lt;$B$8),"Whitespace opportunity",IF(AND(C27&gt;$B$7,B27&gt;=$B$8),"Saturated (strong but crowded)",IF(AND(C27&lt;=$B$7,B27&lt;$B$8),"Niche (small &amp; below avg)","Low priority (crowded &amp; below avg)")))</f>
        <v>Low priority (crowded &amp; below avg)</v>
      </c>
    </row>
    <row r="28" customFormat="false" ht="15" hidden="false" customHeight="false" outlineLevel="0" collapsed="false">
      <c r="A28" s="10" t="s">
        <v>169</v>
      </c>
      <c r="B28" s="13" t="n">
        <f aca="false">COUNTIF('Cleaned Data'!$E$8:$E$507,A28)</f>
        <v>9</v>
      </c>
      <c r="C28" s="14" t="n">
        <f aca="false">AVERAGEIF('Cleaned Data'!$E$8:$E$507,A28,'Cleaned Data'!$H$8:$H$507)</f>
        <v>11644.2666666667</v>
      </c>
      <c r="D28" s="10" t="str">
        <f aca="false">IF(B28&gt;=5,"Yes","No (n&lt;5)")</f>
        <v>Yes</v>
      </c>
      <c r="E28" s="10" t="str">
        <f aca="false">IF(AND(C28&gt;$B$7,B28&lt;$B$8),"Whitespace opportunity",IF(AND(C28&gt;$B$7,B28&gt;=$B$8),"Saturated (strong but crowded)",IF(AND(C28&lt;=$B$7,B28&lt;$B$8),"Niche (small &amp; below avg)","Low priority (crowded &amp; below avg)")))</f>
        <v>Low priority (crowded &amp; below avg)</v>
      </c>
    </row>
    <row r="29" customFormat="false" ht="15" hidden="false" customHeight="false" outlineLevel="0" collapsed="false">
      <c r="A29" s="10" t="s">
        <v>350</v>
      </c>
      <c r="B29" s="13" t="n">
        <f aca="false">COUNTIF('Cleaned Data'!$E$8:$E$507,A29)</f>
        <v>2</v>
      </c>
      <c r="C29" s="14" t="n">
        <f aca="false">AVERAGEIF('Cleaned Data'!$E$8:$E$507,A29,'Cleaned Data'!$H$8:$H$507)</f>
        <v>10719.8</v>
      </c>
      <c r="D29" s="10" t="str">
        <f aca="false">IF(B29&gt;=5,"Yes","No (n&lt;5)")</f>
        <v>No (n&lt;5)</v>
      </c>
      <c r="E29" s="10" t="str">
        <f aca="false">IF(AND(C29&gt;$B$7,B29&lt;$B$8),"Whitespace opportunity",IF(AND(C29&gt;$B$7,B29&gt;=$B$8),"Saturated (strong but crowded)",IF(AND(C29&lt;=$B$7,B29&lt;$B$8),"Niche (small &amp; below avg)","Low priority (crowded &amp; below avg)")))</f>
        <v>Niche (small &amp; below avg)</v>
      </c>
    </row>
    <row r="30" customFormat="false" ht="15" hidden="false" customHeight="false" outlineLevel="0" collapsed="false">
      <c r="A30" s="10" t="s">
        <v>273</v>
      </c>
      <c r="B30" s="13" t="n">
        <f aca="false">COUNTIF('Cleaned Data'!$E$8:$E$507,A30)</f>
        <v>4</v>
      </c>
      <c r="C30" s="14" t="n">
        <f aca="false">AVERAGEIF('Cleaned Data'!$E$8:$E$507,A30,'Cleaned Data'!$H$8:$H$507)</f>
        <v>9841.7</v>
      </c>
      <c r="D30" s="10" t="str">
        <f aca="false">IF(B30&gt;=5,"Yes","No (n&lt;5)")</f>
        <v>No (n&lt;5)</v>
      </c>
      <c r="E30" s="10" t="str">
        <f aca="false">IF(AND(C30&gt;$B$7,B30&lt;$B$8),"Whitespace opportunity",IF(AND(C30&gt;$B$7,B30&gt;=$B$8),"Saturated (strong but crowded)",IF(AND(C30&lt;=$B$7,B30&lt;$B$8),"Niche (small &amp; below avg)","Low priority (crowded &amp; below avg)")))</f>
        <v>Niche (small &amp; below avg)</v>
      </c>
    </row>
    <row r="31" customFormat="false" ht="15" hidden="false" customHeight="false" outlineLevel="0" collapsed="false">
      <c r="A31" s="10" t="s">
        <v>292</v>
      </c>
      <c r="B31" s="13" t="n">
        <f aca="false">COUNTIF('Cleaned Data'!$E$8:$E$507,A31)</f>
        <v>8</v>
      </c>
      <c r="C31" s="14" t="n">
        <f aca="false">AVERAGEIF('Cleaned Data'!$E$8:$E$507,A31,'Cleaned Data'!$H$8:$H$507)</f>
        <v>9199.8625</v>
      </c>
      <c r="D31" s="10" t="str">
        <f aca="false">IF(B31&gt;=5,"Yes","No (n&lt;5)")</f>
        <v>Yes</v>
      </c>
      <c r="E31" s="10" t="str">
        <f aca="false">IF(AND(C31&gt;$B$7,B31&lt;$B$8),"Whitespace opportunity",IF(AND(C31&gt;$B$7,B31&gt;=$B$8),"Saturated (strong but crowded)",IF(AND(C31&lt;=$B$7,B31&lt;$B$8),"Niche (small &amp; below avg)","Low priority (crowded &amp; below avg)")))</f>
        <v>Niche (small &amp; below avg)</v>
      </c>
    </row>
    <row r="32" customFormat="false" ht="15" hidden="false" customHeight="false" outlineLevel="0" collapsed="false">
      <c r="A32" s="10" t="s">
        <v>456</v>
      </c>
      <c r="B32" s="13" t="n">
        <f aca="false">COUNTIF('Cleaned Data'!$E$8:$E$507,A32)</f>
        <v>3</v>
      </c>
      <c r="C32" s="14" t="n">
        <f aca="false">AVERAGEIF('Cleaned Data'!$E$8:$E$507,A32,'Cleaned Data'!$H$8:$H$507)</f>
        <v>8348.26666666667</v>
      </c>
      <c r="D32" s="10" t="str">
        <f aca="false">IF(B32&gt;=5,"Yes","No (n&lt;5)")</f>
        <v>No (n&lt;5)</v>
      </c>
      <c r="E32" s="10" t="str">
        <f aca="false">IF(AND(C32&gt;$B$7,B32&lt;$B$8),"Whitespace opportunity",IF(AND(C32&gt;$B$7,B32&gt;=$B$8),"Saturated (strong but crowded)",IF(AND(C32&lt;=$B$7,B32&lt;$B$8),"Niche (small &amp; below avg)","Low priority (crowded &amp; below avg)")))</f>
        <v>Niche (small &amp; below avg)</v>
      </c>
    </row>
    <row r="33" customFormat="false" ht="15" hidden="false" customHeight="false" outlineLevel="0" collapsed="false">
      <c r="A33" s="10" t="s">
        <v>489</v>
      </c>
      <c r="B33" s="13" t="n">
        <f aca="false">COUNTIF('Cleaned Data'!$E$8:$E$507,A33)</f>
        <v>1</v>
      </c>
      <c r="C33" s="14" t="n">
        <f aca="false">AVERAGEIF('Cleaned Data'!$E$8:$E$507,A33,'Cleaned Data'!$H$8:$H$507)</f>
        <v>8316.5</v>
      </c>
      <c r="D33" s="10" t="str">
        <f aca="false">IF(B33&gt;=5,"Yes","No (n&lt;5)")</f>
        <v>No (n&lt;5)</v>
      </c>
      <c r="E33" s="10" t="str">
        <f aca="false">IF(AND(C33&gt;$B$7,B33&lt;$B$8),"Whitespace opportunity",IF(AND(C33&gt;$B$7,B33&gt;=$B$8),"Saturated (strong but crowded)",IF(AND(C33&lt;=$B$7,B33&lt;$B$8),"Niche (small &amp; below avg)","Low priority (crowded &amp; below avg)")))</f>
        <v>Niche (small &amp; below avg)</v>
      </c>
    </row>
    <row r="34" customFormat="false" ht="15" hidden="false" customHeight="false" outlineLevel="0" collapsed="false">
      <c r="A34" s="10" t="s">
        <v>593</v>
      </c>
      <c r="B34" s="13" t="n">
        <f aca="false">COUNTIF('Cleaned Data'!$E$8:$E$507,A34)</f>
        <v>1</v>
      </c>
      <c r="C34" s="14" t="n">
        <f aca="false">AVERAGEIF('Cleaned Data'!$E$8:$E$507,A34,'Cleaned Data'!$H$8:$H$507)</f>
        <v>7018.9</v>
      </c>
      <c r="D34" s="10" t="str">
        <f aca="false">IF(B34&gt;=5,"Yes","No (n&lt;5)")</f>
        <v>No (n&lt;5)</v>
      </c>
      <c r="E34" s="10" t="str">
        <f aca="false">IF(AND(C34&gt;$B$7,B34&lt;$B$8),"Whitespace opportunity",IF(AND(C34&gt;$B$7,B34&gt;=$B$8),"Saturated (strong but crowded)",IF(AND(C34&lt;=$B$7,B34&lt;$B$8),"Niche (small &amp; below avg)","Low priority (crowded &amp; below avg)")))</f>
        <v>Niche (small &amp; below avg)</v>
      </c>
    </row>
    <row r="36" customFormat="false" ht="15" hidden="false" customHeight="false" outlineLevel="0" collapsed="false">
      <c r="A36" s="20" t="s">
        <v>666</v>
      </c>
    </row>
    <row r="37" customFormat="false" ht="26.85" hidden="false" customHeight="false" outlineLevel="0" collapsed="false">
      <c r="A37" s="1" t="s">
        <v>634</v>
      </c>
      <c r="B37" s="1" t="s">
        <v>649</v>
      </c>
      <c r="C37" s="1" t="s">
        <v>663</v>
      </c>
    </row>
    <row r="38" customFormat="false" ht="15" hidden="false" customHeight="false" outlineLevel="0" collapsed="false">
      <c r="A38" s="18" t="s">
        <v>667</v>
      </c>
      <c r="B38" s="18"/>
      <c r="C38" s="18"/>
    </row>
  </sheetData>
  <mergeCells count="3">
    <mergeCell ref="A1:F1"/>
    <mergeCell ref="A3:F3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5" t="s">
        <v>668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18" t="s">
        <v>669</v>
      </c>
      <c r="B3" s="18"/>
      <c r="C3" s="18"/>
      <c r="D3" s="18"/>
      <c r="E3" s="18"/>
      <c r="F3" s="18"/>
    </row>
    <row r="5" customFormat="false" ht="26.85" hidden="false" customHeight="false" outlineLevel="0" collapsed="false">
      <c r="A5" s="1" t="s">
        <v>601</v>
      </c>
      <c r="B5" s="1" t="s">
        <v>649</v>
      </c>
      <c r="C5" s="1" t="s">
        <v>650</v>
      </c>
      <c r="D5" s="1" t="s">
        <v>670</v>
      </c>
      <c r="E5" s="1" t="s">
        <v>656</v>
      </c>
    </row>
    <row r="6" customFormat="false" ht="15" hidden="false" customHeight="false" outlineLevel="0" collapsed="false">
      <c r="A6" s="10" t="s">
        <v>671</v>
      </c>
      <c r="B6" s="13" t="n">
        <f aca="false">COUNTIF('Cleaned Data'!$Q$8:$Q$507,A6)</f>
        <v>254</v>
      </c>
      <c r="C6" s="14" t="n">
        <f aca="false">AVERAGEIF('Cleaned Data'!$Q$8:$Q$507,A6,'Cleaned Data'!$H$8:$H$507)</f>
        <v>16718.9633858268</v>
      </c>
      <c r="D6" s="14" t="n">
        <f aca="false">AVERAGEIF('Cleaned Data'!$Q$8:$Q$507,A6,'Cleaned Data'!$P$8:$P$507)</f>
        <v>699.560370622705</v>
      </c>
      <c r="E6" s="19" t="n">
        <f aca="false">AVERAGEIF('Cleaned Data'!$Q$8:$Q$507,A6,'Cleaned Data'!$N$8:$N$507)</f>
        <v>44.8988984926175</v>
      </c>
    </row>
    <row r="7" customFormat="false" ht="15" hidden="false" customHeight="false" outlineLevel="0" collapsed="false">
      <c r="A7" s="10" t="s">
        <v>672</v>
      </c>
      <c r="B7" s="13" t="n">
        <f aca="false">COUNTIF('Cleaned Data'!$Q$8:$Q$507,A7)</f>
        <v>207</v>
      </c>
      <c r="C7" s="14" t="n">
        <f aca="false">AVERAGEIF('Cleaned Data'!$Q$8:$Q$507,A7,'Cleaned Data'!$H$8:$H$507)</f>
        <v>17719.4217391304</v>
      </c>
      <c r="D7" s="14" t="n">
        <f aca="false">AVERAGEIF('Cleaned Data'!$Q$8:$Q$507,A7,'Cleaned Data'!$P$8:$P$507)</f>
        <v>1427.84286660133</v>
      </c>
      <c r="E7" s="19" t="n">
        <f aca="false">AVERAGEIF('Cleaned Data'!$Q$8:$Q$507,A7,'Cleaned Data'!$N$8:$N$507)</f>
        <v>54.1613741560077</v>
      </c>
    </row>
    <row r="8" customFormat="false" ht="15" hidden="false" customHeight="false" outlineLevel="0" collapsed="false">
      <c r="A8" s="10" t="s">
        <v>673</v>
      </c>
      <c r="B8" s="13" t="n">
        <f aca="false">COUNTIF('Cleaned Data'!$Q$8:$Q$507,A8)</f>
        <v>39</v>
      </c>
      <c r="C8" s="14" t="n">
        <f aca="false">AVERAGEIF('Cleaned Data'!$Q$8:$Q$507,A8,'Cleaned Data'!$H$8:$H$507)</f>
        <v>12673.541025641</v>
      </c>
      <c r="D8" s="14" t="n">
        <f aca="false">AVERAGEIF('Cleaned Data'!$Q$8:$Q$507,A8,'Cleaned Data'!$P$8:$P$507)</f>
        <v>2034.10626068376</v>
      </c>
      <c r="E8" s="19" t="n">
        <f aca="false">AVERAGEIF('Cleaned Data'!$Q$8:$Q$507,A8,'Cleaned Data'!$N$8:$N$507)</f>
        <v>53.2752128214333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5" t="s">
        <v>674</v>
      </c>
      <c r="B1" s="5"/>
      <c r="C1" s="5"/>
      <c r="D1" s="5"/>
      <c r="E1" s="5"/>
    </row>
    <row r="3" customFormat="false" ht="26.85" hidden="false" customHeight="false" outlineLevel="0" collapsed="false">
      <c r="A3" s="1" t="s">
        <v>1</v>
      </c>
      <c r="B3" s="1" t="s">
        <v>649</v>
      </c>
      <c r="C3" s="1" t="s">
        <v>650</v>
      </c>
      <c r="D3" s="1" t="s">
        <v>656</v>
      </c>
      <c r="E3" s="1" t="s">
        <v>675</v>
      </c>
    </row>
    <row r="4" customFormat="false" ht="15" hidden="false" customHeight="false" outlineLevel="0" collapsed="false">
      <c r="A4" s="10" t="s">
        <v>15</v>
      </c>
      <c r="B4" s="13" t="n">
        <f aca="false">COUNTIF('Cleaned Data'!$B$8:$B$507,A4)</f>
        <v>390</v>
      </c>
      <c r="C4" s="14" t="n">
        <f aca="false">AVERAGEIF('Cleaned Data'!$B$8:$B$507,A4,'Cleaned Data'!$H$8:$H$507)</f>
        <v>16507.787948718</v>
      </c>
      <c r="D4" s="19" t="n">
        <f aca="false">AVERAGEIF('Cleaned Data'!$B$8:$B$507,A4,'Cleaned Data'!$N$8:$N$507)</f>
        <v>51.4204768998828</v>
      </c>
      <c r="E4" s="19" t="n">
        <f aca="false">AVERAGEIF('Cleaned Data'!$B$8:$B$507,A4,'Cleaned Data'!$L$8:$L$507)</f>
        <v>48.5795231000795</v>
      </c>
    </row>
    <row r="5" customFormat="false" ht="15" hidden="false" customHeight="false" outlineLevel="0" collapsed="false">
      <c r="A5" s="10" t="s">
        <v>21</v>
      </c>
      <c r="B5" s="13" t="n">
        <f aca="false">COUNTIF('Cleaned Data'!$B$8:$B$507,A5)</f>
        <v>88</v>
      </c>
      <c r="C5" s="14" t="n">
        <f aca="false">AVERAGEIF('Cleaned Data'!$B$8:$B$507,A5,'Cleaned Data'!$H$8:$H$507)</f>
        <v>18593.4965909091</v>
      </c>
      <c r="D5" s="19" t="n">
        <f aca="false">AVERAGEIF('Cleaned Data'!$B$8:$B$507,A5,'Cleaned Data'!$N$8:$N$507)</f>
        <v>44.623274746101</v>
      </c>
      <c r="E5" s="19" t="n">
        <f aca="false">AVERAGEIF('Cleaned Data'!$B$8:$B$507,A5,'Cleaned Data'!$L$8:$L$507)</f>
        <v>55.3767252537727</v>
      </c>
    </row>
    <row r="6" customFormat="false" ht="15" hidden="false" customHeight="false" outlineLevel="0" collapsed="false">
      <c r="A6" s="10" t="s">
        <v>79</v>
      </c>
      <c r="B6" s="13" t="n">
        <f aca="false">COUNTIF('Cleaned Data'!$B$8:$B$507,A6)</f>
        <v>22</v>
      </c>
      <c r="C6" s="14" t="n">
        <f aca="false">AVERAGEIF('Cleaned Data'!$B$8:$B$507,A6,'Cleaned Data'!$H$8:$H$507)</f>
        <v>15206.3681818182</v>
      </c>
      <c r="D6" s="19" t="n">
        <f aca="false">AVERAGEIF('Cleaned Data'!$B$8:$B$507,A6,'Cleaned Data'!$N$8:$N$507)</f>
        <v>32.391990856507</v>
      </c>
      <c r="E6" s="19" t="n">
        <f aca="false">AVERAGEIF('Cleaned Data'!$B$8:$B$507,A6,'Cleaned Data'!$L$8:$L$507)</f>
        <v>67.6080091441864</v>
      </c>
    </row>
    <row r="8" customFormat="false" ht="15" hidden="false" customHeight="false" outlineLevel="0" collapsed="false">
      <c r="A8" s="12" t="s">
        <v>676</v>
      </c>
    </row>
    <row r="9" customFormat="false" ht="15" hidden="false" customHeight="false" outlineLevel="0" collapsed="false">
      <c r="A9" s="1" t="s">
        <v>1</v>
      </c>
      <c r="B9" s="1" t="s">
        <v>19</v>
      </c>
      <c r="C9" s="1" t="s">
        <v>49</v>
      </c>
    </row>
    <row r="10" customFormat="false" ht="15" hidden="false" customHeight="false" outlineLevel="0" collapsed="false">
      <c r="A10" s="10" t="s">
        <v>15</v>
      </c>
      <c r="B10" s="13" t="n">
        <f aca="false">COUNTIFS('Cleaned Data'!$B$8:$B$507,A10,'Cleaned Data'!$F$8:$F$507,"Solo")</f>
        <v>291</v>
      </c>
      <c r="C10" s="13" t="n">
        <f aca="false">COUNTIFS('Cleaned Data'!$B$8:$B$507,A10,'Cleaned Data'!$F$8:$F$507,"Group")</f>
        <v>99</v>
      </c>
    </row>
    <row r="11" customFormat="false" ht="15" hidden="false" customHeight="false" outlineLevel="0" collapsed="false">
      <c r="A11" s="10" t="s">
        <v>21</v>
      </c>
      <c r="B11" s="13" t="n">
        <f aca="false">COUNTIFS('Cleaned Data'!$B$8:$B$507,A11,'Cleaned Data'!$F$8:$F$507,"Solo")</f>
        <v>82</v>
      </c>
      <c r="C11" s="13" t="n">
        <f aca="false">COUNTIFS('Cleaned Data'!$B$8:$B$507,A11,'Cleaned Data'!$F$8:$F$507,"Group")</f>
        <v>6</v>
      </c>
    </row>
    <row r="12" customFormat="false" ht="15" hidden="false" customHeight="false" outlineLevel="0" collapsed="false">
      <c r="A12" s="10" t="s">
        <v>79</v>
      </c>
      <c r="B12" s="13" t="n">
        <f aca="false">COUNTIFS('Cleaned Data'!$B$8:$B$507,A12,'Cleaned Data'!$F$8:$F$507,"Solo")</f>
        <v>0</v>
      </c>
      <c r="C12" s="13" t="n">
        <f aca="false">COUNTIFS('Cleaned Data'!$B$8:$B$507,A12,'Cleaned Data'!$F$8:$F$507,"Group")</f>
        <v>22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21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8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22" t="s">
        <v>678</v>
      </c>
      <c r="B1" s="22"/>
    </row>
    <row r="2" customFormat="false" ht="15" hidden="false" customHeight="false" outlineLevel="0" collapsed="false">
      <c r="A2" s="18" t="s">
        <v>679</v>
      </c>
      <c r="B2" s="18"/>
    </row>
    <row r="4" customFormat="false" ht="15" hidden="false" customHeight="false" outlineLevel="0" collapsed="false">
      <c r="A4" s="23" t="s">
        <v>680</v>
      </c>
      <c r="B4" s="23"/>
    </row>
    <row r="5" customFormat="false" ht="94.5" hidden="false" customHeight="true" outlineLevel="0" collapsed="false">
      <c r="A5" s="24" t="s">
        <v>681</v>
      </c>
      <c r="B5" s="24"/>
    </row>
    <row r="7" customFormat="false" ht="15" hidden="false" customHeight="false" outlineLevel="0" collapsed="false">
      <c r="A7" s="23" t="s">
        <v>682</v>
      </c>
      <c r="B7" s="23"/>
    </row>
    <row r="8" customFormat="false" ht="94.5" hidden="false" customHeight="true" outlineLevel="0" collapsed="false">
      <c r="A8" s="24" t="s">
        <v>683</v>
      </c>
      <c r="B8" s="24"/>
    </row>
    <row r="10" customFormat="false" ht="15" hidden="false" customHeight="false" outlineLevel="0" collapsed="false">
      <c r="A10" s="23" t="s">
        <v>684</v>
      </c>
      <c r="B10" s="23"/>
    </row>
    <row r="11" customFormat="false" ht="94.5" hidden="false" customHeight="true" outlineLevel="0" collapsed="false">
      <c r="A11" s="24" t="s">
        <v>685</v>
      </c>
      <c r="B11" s="24"/>
    </row>
    <row r="13" customFormat="false" ht="15" hidden="false" customHeight="false" outlineLevel="0" collapsed="false">
      <c r="A13" s="23" t="s">
        <v>686</v>
      </c>
      <c r="B13" s="23"/>
    </row>
    <row r="14" customFormat="false" ht="94.5" hidden="false" customHeight="true" outlineLevel="0" collapsed="false">
      <c r="A14" s="24" t="s">
        <v>687</v>
      </c>
      <c r="B14" s="24"/>
    </row>
    <row r="16" customFormat="false" ht="15" hidden="false" customHeight="false" outlineLevel="0" collapsed="false">
      <c r="A16" s="23" t="s">
        <v>688</v>
      </c>
      <c r="B16" s="23"/>
    </row>
    <row r="17" customFormat="false" ht="94.5" hidden="false" customHeight="true" outlineLevel="0" collapsed="false">
      <c r="A17" s="24" t="s">
        <v>689</v>
      </c>
      <c r="B17" s="24"/>
    </row>
  </sheetData>
  <mergeCells count="12">
    <mergeCell ref="A1:B1"/>
    <mergeCell ref="A2:B2"/>
    <mergeCell ref="A4:B4"/>
    <mergeCell ref="A5:B5"/>
    <mergeCell ref="A7:B7"/>
    <mergeCell ref="A8:B8"/>
    <mergeCell ref="A10:B10"/>
    <mergeCell ref="A11:B11"/>
    <mergeCell ref="A13:B13"/>
    <mergeCell ref="A14:B14"/>
    <mergeCell ref="A16:B16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2026-08-14T14:32:35Z</dcterms:created>
  <dc:creator>openpyxl</dc:creator>
  <dc:description/>
  <dc:language>en-US</dc:language>
  <cp:lastModifiedBy/>
  <dcterms:modified xsi:type="dcterms:W3CDTF">2026-08-14T14:32:45Z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