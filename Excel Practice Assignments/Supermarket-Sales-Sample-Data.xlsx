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F63F3A9-1F8C-4B9D-83CD-8DFC3C3892E9}" xr6:coauthVersionLast="47" xr6:coauthVersionMax="47" xr10:uidLastSave="{00000000-0000-0000-0000-000000000000}"/>
  <bookViews>
    <workbookView xWindow="-108" yWindow="-108" windowWidth="23256" windowHeight="12456" activeTab="1" xr2:uid="{13F4AE79-2971-4DD1-83EB-84B9C5A6F743}"/>
  </bookViews>
  <sheets>
    <sheet name="SuperMarket Sales" sheetId="2" r:id="rId1"/>
    <sheet name="Data" sheetId="3" r:id="rId2"/>
  </sheets>
  <calcPr calcId="191029"/>
  <pivotCaches>
    <pivotCache cacheId="16" r:id="rId3"/>
    <pivotCache cacheId="1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" i="3" l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2" i="3"/>
  <c r="O5" i="3"/>
  <c r="I2" i="3"/>
  <c r="I3" i="3"/>
  <c r="I4" i="3"/>
  <c r="I5" i="3"/>
  <c r="I6" i="3"/>
  <c r="G68" i="3" s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O48" i="3" l="1"/>
  <c r="O44" i="3"/>
  <c r="G21" i="3"/>
  <c r="H21" i="3" s="1"/>
  <c r="G53" i="3"/>
  <c r="H53" i="3" s="1"/>
  <c r="O49" i="3"/>
  <c r="G29" i="3"/>
  <c r="H29" i="3" s="1"/>
  <c r="G61" i="3"/>
  <c r="H61" i="3" s="1"/>
  <c r="G5" i="3"/>
  <c r="H5" i="3" s="1"/>
  <c r="G37" i="3"/>
  <c r="H37" i="3" s="1"/>
  <c r="G69" i="3"/>
  <c r="H69" i="3" s="1"/>
  <c r="G13" i="3"/>
  <c r="H13" i="3" s="1"/>
  <c r="G45" i="3"/>
  <c r="H45" i="3" s="1"/>
  <c r="G7" i="3"/>
  <c r="H7" i="3" s="1"/>
  <c r="G15" i="3"/>
  <c r="H15" i="3" s="1"/>
  <c r="G23" i="3"/>
  <c r="G31" i="3"/>
  <c r="H31" i="3" s="1"/>
  <c r="G39" i="3"/>
  <c r="H39" i="3" s="1"/>
  <c r="G47" i="3"/>
  <c r="H47" i="3" s="1"/>
  <c r="G55" i="3"/>
  <c r="G63" i="3"/>
  <c r="H63" i="3" s="1"/>
  <c r="G70" i="3"/>
  <c r="H70" i="3" s="1"/>
  <c r="G71" i="3"/>
  <c r="H71" i="3" s="1"/>
  <c r="G9" i="3"/>
  <c r="H9" i="3" s="1"/>
  <c r="G17" i="3"/>
  <c r="G25" i="3"/>
  <c r="H25" i="3" s="1"/>
  <c r="G33" i="3"/>
  <c r="H33" i="3" s="1"/>
  <c r="G41" i="3"/>
  <c r="H41" i="3" s="1"/>
  <c r="G49" i="3"/>
  <c r="H49" i="3" s="1"/>
  <c r="G57" i="3"/>
  <c r="H57" i="3" s="1"/>
  <c r="G65" i="3"/>
  <c r="H65" i="3" s="1"/>
  <c r="G3" i="3"/>
  <c r="H3" i="3" s="1"/>
  <c r="G11" i="3"/>
  <c r="H11" i="3" s="1"/>
  <c r="G19" i="3"/>
  <c r="H19" i="3" s="1"/>
  <c r="G27" i="3"/>
  <c r="H27" i="3" s="1"/>
  <c r="G35" i="3"/>
  <c r="H35" i="3" s="1"/>
  <c r="G43" i="3"/>
  <c r="H43" i="3" s="1"/>
  <c r="G51" i="3"/>
  <c r="H51" i="3" s="1"/>
  <c r="G59" i="3"/>
  <c r="H59" i="3" s="1"/>
  <c r="G67" i="3"/>
  <c r="H67" i="3" s="1"/>
  <c r="H68" i="3"/>
  <c r="H17" i="3"/>
  <c r="H55" i="3"/>
  <c r="H23" i="3"/>
  <c r="G2" i="3"/>
  <c r="G4" i="3"/>
  <c r="G6" i="3"/>
  <c r="G8" i="3"/>
  <c r="G10" i="3"/>
  <c r="G12" i="3"/>
  <c r="G14" i="3"/>
  <c r="G16" i="3"/>
  <c r="G18" i="3"/>
  <c r="G20" i="3"/>
  <c r="G22" i="3"/>
  <c r="G24" i="3"/>
  <c r="G26" i="3"/>
  <c r="G28" i="3"/>
  <c r="G30" i="3"/>
  <c r="G32" i="3"/>
  <c r="G34" i="3"/>
  <c r="G36" i="3"/>
  <c r="G38" i="3"/>
  <c r="G40" i="3"/>
  <c r="G42" i="3"/>
  <c r="G44" i="3"/>
  <c r="G46" i="3"/>
  <c r="G48" i="3"/>
  <c r="G50" i="3"/>
  <c r="G52" i="3"/>
  <c r="G54" i="3"/>
  <c r="G56" i="3"/>
  <c r="G58" i="3"/>
  <c r="G60" i="3"/>
  <c r="G62" i="3"/>
  <c r="G64" i="3"/>
  <c r="G66" i="3"/>
  <c r="O4" i="3" l="1"/>
  <c r="H64" i="3"/>
  <c r="H48" i="3"/>
  <c r="H32" i="3"/>
  <c r="H16" i="3"/>
  <c r="H62" i="3"/>
  <c r="H46" i="3"/>
  <c r="H30" i="3"/>
  <c r="H14" i="3"/>
  <c r="H52" i="3"/>
  <c r="H36" i="3"/>
  <c r="H28" i="3"/>
  <c r="H12" i="3"/>
  <c r="H4" i="3"/>
  <c r="H56" i="3"/>
  <c r="H40" i="3"/>
  <c r="H24" i="3"/>
  <c r="H8" i="3"/>
  <c r="H54" i="3"/>
  <c r="H38" i="3"/>
  <c r="H22" i="3"/>
  <c r="H6" i="3"/>
  <c r="H60" i="3"/>
  <c r="H44" i="3"/>
  <c r="H20" i="3"/>
  <c r="H66" i="3"/>
  <c r="H58" i="3"/>
  <c r="H50" i="3"/>
  <c r="H42" i="3"/>
  <c r="H34" i="3"/>
  <c r="H26" i="3"/>
  <c r="H18" i="3"/>
  <c r="H10" i="3"/>
  <c r="H2" i="3"/>
  <c r="O8" i="3" l="1"/>
  <c r="O7" i="3"/>
  <c r="O9" i="3"/>
  <c r="O6" i="3" s="1"/>
</calcChain>
</file>

<file path=xl/sharedStrings.xml><?xml version="1.0" encoding="utf-8"?>
<sst xmlns="http://schemas.openxmlformats.org/spreadsheetml/2006/main" count="258" uniqueCount="194">
  <si>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</si>
  <si>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</si>
  <si>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</si>
  <si>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</si>
  <si>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</si>
  <si>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</si>
  <si>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</si>
  <si>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</si>
  <si>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</si>
  <si>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</si>
  <si>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</si>
  <si>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</si>
  <si>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</si>
  <si>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</si>
  <si>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</si>
  <si>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</si>
  <si>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</si>
  <si>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</si>
  <si>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</si>
  <si>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</si>
  <si>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</si>
  <si>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</si>
  <si>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</si>
  <si>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</si>
  <si>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</si>
  <si>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</si>
  <si>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</si>
  <si>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</si>
  <si>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</si>
  <si>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</si>
  <si>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</si>
  <si>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</si>
  <si>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</si>
  <si>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</si>
  <si>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</si>
  <si>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</si>
  <si>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</si>
  <si>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</si>
  <si>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</si>
  <si>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</si>
  <si>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</si>
  <si>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</si>
  <si>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</si>
  <si>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</si>
  <si>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</si>
  <si>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</si>
  <si>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</si>
  <si>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</si>
  <si>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</si>
  <si>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</si>
  <si>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</si>
  <si>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</si>
  <si>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</si>
  <si>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</si>
  <si>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</si>
  <si>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</si>
  <si>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</si>
  <si>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</si>
  <si>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</si>
  <si>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</si>
  <si>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</si>
  <si>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</si>
  <si>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</si>
  <si>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</si>
  <si>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</si>
  <si>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</si>
  <si>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</si>
  <si>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</si>
  <si>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</si>
  <si>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</si>
  <si>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</si>
  <si>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</si>
  <si>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</si>
  <si>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</si>
  <si>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</si>
  <si>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</si>
  <si>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</si>
  <si>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</si>
  <si>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</si>
  <si>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</si>
  <si>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</si>
  <si>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</si>
  <si>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</si>
  <si>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</si>
  <si>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</si>
  <si>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</si>
  <si>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</si>
  <si>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</si>
  <si>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</si>
  <si>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</si>
  <si>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</si>
  <si>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</si>
  <si>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</si>
  <si>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</si>
  <si>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</si>
  <si>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</si>
  <si>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</si>
  <si>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</si>
  <si>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</si>
  <si>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</si>
  <si>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</si>
  <si>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</si>
  <si>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</si>
  <si>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</si>
  <si>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</si>
  <si>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</si>
  <si>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</si>
  <si>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</si>
  <si>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</si>
  <si>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</si>
  <si>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</si>
  <si>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</si>
  <si>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</si>
  <si>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</si>
  <si>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</si>
  <si>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</si>
  <si>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</si>
  <si>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</si>
  <si>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</si>
  <si>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</si>
  <si>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</si>
  <si>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</si>
  <si>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</si>
  <si>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</si>
  <si>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</si>
  <si>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</si>
  <si>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</si>
  <si>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</si>
  <si>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</si>
  <si>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Shipping Time</t>
  </si>
  <si>
    <t>KPI Cards:</t>
  </si>
  <si>
    <t>Total Revenue</t>
  </si>
  <si>
    <t>Total Orders</t>
  </si>
  <si>
    <t>Total Quantity Sold</t>
  </si>
  <si>
    <t>Average Order Value</t>
  </si>
  <si>
    <t>Average Shipping Days</t>
  </si>
  <si>
    <t>Delayed Order %</t>
  </si>
  <si>
    <t>Highest Order Value</t>
  </si>
  <si>
    <t>Then create:</t>
  </si>
  <si>
    <t>1. Monthly Sales Chart</t>
  </si>
  <si>
    <t>2. Sales by Customer Chart</t>
  </si>
  <si>
    <t>3. Order Quantity Distribution</t>
  </si>
  <si>
    <t>4. Shipping Status Chart</t>
  </si>
  <si>
    <t>Concepts covered:</t>
  </si>
  <si>
    <t>KPI design</t>
  </si>
  <si>
    <t>PivotTables</t>
  </si>
  <si>
    <t>PivotCharts</t>
  </si>
  <si>
    <t>Data visualization</t>
  </si>
  <si>
    <t>Dashboard design</t>
  </si>
  <si>
    <t>15. Create a PivotTable Sales Analysis</t>
  </si>
  <si>
    <t>Create a PivotTable with:</t>
  </si>
  <si>
    <t>Rows:</t>
  </si>
  <si>
    <t>Order Month</t>
  </si>
  <si>
    <t>Values:</t>
  </si>
  <si>
    <t>Sum of Total Sales</t>
  </si>
  <si>
    <t>Count of Order No</t>
  </si>
  <si>
    <t>Sum of Order Quantity</t>
  </si>
  <si>
    <t>Average of Total Sales</t>
  </si>
  <si>
    <t>A. Sales Performance</t>
  </si>
  <si>
    <t>1. What is total revenue?</t>
  </si>
  <si>
    <t>2. What is total quantity sold?</t>
  </si>
  <si>
    <t>3. What is the average order value?</t>
  </si>
  <si>
    <t>4. What is the highest-value order?</t>
  </si>
  <si>
    <t>5. What is the lowest-value order?</t>
  </si>
  <si>
    <t>B. Customer Analysis</t>
  </si>
  <si>
    <t>C. Operational Analysis</t>
  </si>
  <si>
    <t>10. What is the average shipping time?</t>
  </si>
  <si>
    <t>11. What percentage of orders were delayed?</t>
  </si>
  <si>
    <t>12. Which orders took the longest to ship?</t>
  </si>
  <si>
    <t>D. Time-Series Analysis</t>
  </si>
  <si>
    <t>13. Which month generated the highest revenue?</t>
  </si>
  <si>
    <t>14. Which month generated the lowest revenue?</t>
  </si>
  <si>
    <t>15. What is the month-over-month growth?</t>
  </si>
  <si>
    <t>16. Is revenue trending upward or downward?</t>
  </si>
  <si>
    <t>E. Data Quality</t>
  </si>
  <si>
    <t>17. Are there duplicate orders?</t>
  </si>
  <si>
    <t>18. Are there incorrect tax calculations?</t>
  </si>
  <si>
    <t>19. Are there incorrect total calculations?</t>
  </si>
  <si>
    <t>20. Are there any invalid dates or shipping dates?</t>
  </si>
  <si>
    <t>6. Total orders Received ?</t>
  </si>
  <si>
    <t>Grand Total</t>
  </si>
  <si>
    <t>Row Labels</t>
  </si>
  <si>
    <t>Sum of Total (USD)</t>
  </si>
  <si>
    <t>Repeat</t>
  </si>
  <si>
    <t>Count of Repeat</t>
  </si>
  <si>
    <t>Sum of Shipping Time</t>
  </si>
  <si>
    <t>7. Who are the top 5 customers?</t>
  </si>
  <si>
    <t>8. Who generated the highest revenue?</t>
  </si>
  <si>
    <t>9. Which customers are repeat customers?</t>
  </si>
  <si>
    <t>10. What percentage of customers are repeat customers?</t>
  </si>
  <si>
    <t>Customer</t>
  </si>
  <si>
    <t>Month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</si>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</sst>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3.5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0" fontId="2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9" fontId="5" fillId="0" borderId="0" xfId="1" applyFont="1" applyFill="1" applyBorder="1" applyAlignment="1"/>
    <xf numFmtId="0" fontId="5" fillId="0" borderId="0" xfId="0" applyFont="1" applyFill="1" applyBorder="1" applyAlignment="1"/>
    <xf numFmtId="14" fontId="5" fillId="0" borderId="0" xfId="0" applyNumberFormat="1" applyFont="1" applyFill="1" applyBorder="1" applyAlignment="1"/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4" fontId="5" fillId="0" borderId="7" xfId="0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Font="1" applyAlignment="1">
      <alignment vertical="center"/>
    </xf>
    <xf numFmtId="0" fontId="0" fillId="3" borderId="10" xfId="0" applyFill="1" applyBorder="1"/>
    <xf numFmtId="0" fontId="0" fillId="3" borderId="10" xfId="0" applyFill="1" applyBorder="1" applyAlignment="1">
      <alignment horizontal="left" vertical="center" indent="1"/>
    </xf>
    <xf numFmtId="0" fontId="0" fillId="3" borderId="10" xfId="0" applyFill="1" applyBorder="1" applyAlignment="1">
      <alignment horizontal="left"/>
    </xf>
    <xf numFmtId="0" fontId="0" fillId="3" borderId="10" xfId="0" applyNumberForma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0" fillId="4" borderId="10" xfId="0" applyFill="1" applyBorder="1" applyAlignment="1">
      <alignment horizontal="left" vertical="center" indent="1"/>
    </xf>
    <xf numFmtId="0" fontId="0" fillId="0" borderId="0" xfId="0" applyFill="1"/>
    <xf numFmtId="0" fontId="8" fillId="5" borderId="10" xfId="0" applyFont="1" applyFill="1" applyBorder="1" applyAlignment="1">
      <alignment vertical="center"/>
    </xf>
    <xf numFmtId="44" fontId="0" fillId="3" borderId="11" xfId="2" applyFont="1" applyFill="1" applyBorder="1" applyAlignment="1">
      <alignment horizontal="right" vertical="center"/>
    </xf>
    <xf numFmtId="0" fontId="0" fillId="3" borderId="11" xfId="0" applyFill="1" applyBorder="1" applyAlignment="1">
      <alignment horizontal="right" vertical="center"/>
    </xf>
    <xf numFmtId="44" fontId="0" fillId="3" borderId="10" xfId="0" applyNumberFormat="1" applyFill="1" applyBorder="1"/>
    <xf numFmtId="2" fontId="0" fillId="3" borderId="10" xfId="0" applyNumberFormat="1" applyFill="1" applyBorder="1"/>
    <xf numFmtId="44" fontId="0" fillId="3" borderId="10" xfId="0" applyNumberFormat="1" applyFill="1" applyBorder="1" applyAlignment="1">
      <alignment horizontal="left" vertical="center" indent="1"/>
    </xf>
    <xf numFmtId="10" fontId="0" fillId="3" borderId="10" xfId="0" applyNumberFormat="1" applyFill="1" applyBorder="1" applyAlignment="1">
      <alignment horizontal="right" vertical="center" indent="1"/>
    </xf>
  </cellXfs>
  <cellStyles count="3">
    <cellStyle name="Currency" xfId="2" builtinId="4"/>
    <cellStyle name="Normal" xfId="0" builtinId="0"/>
    <cellStyle name="Percent" xfId="1" builtinId="5"/>
  </cellStyles>
  <dxfs count="9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fgColor indexed="64"/>
          <bgColor theme="2"/>
        </patternFill>
      </fill>
      <alignment horizontal="left" vertical="center" indent="1"/>
    </dxf>
    <dxf>
      <fill>
        <patternFill patternType="solid">
          <fgColor indexed="64"/>
          <bgColor theme="2"/>
        </patternFill>
      </fill>
      <alignment horizontal="left" vertical="center" indent="1"/>
    </dxf>
    <dxf>
      <fill>
        <patternFill patternType="solid">
          <fgColor indexed="64"/>
          <bgColor theme="2"/>
        </patternFill>
      </fill>
      <alignment horizontal="left" vertical="center" indent="1"/>
    </dxf>
    <dxf>
      <fill>
        <patternFill patternType="solid">
          <fgColor indexed="64"/>
          <bgColor theme="2"/>
        </patternFill>
      </fill>
      <alignment horizontal="left" vertical="center" indent="1"/>
    </dxf>
    <dxf>
      <fill>
        <patternFill patternType="solid">
          <fgColor indexed="64"/>
          <bgColor theme="2"/>
        </patternFill>
      </fill>
      <alignment horizontal="left" vertical="center" indent="1"/>
    </dxf>
    <dxf>
      <fill>
        <patternFill patternType="solid">
          <fgColor indexed="64"/>
          <bgColor theme="2"/>
        </patternFill>
      </fill>
      <alignment horizontal="left" vertical="center"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  <right style="thin">
          <color rgb="FFD9D9D9"/>
        </right>
        <bottom style="thin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Revenue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2537182852142"/>
          <c:y val="0.19486111111111112"/>
          <c:w val="0.8649746281714785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Data!$U$8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Data!$V$8</c:f>
              <c:numCache>
                <c:formatCode>_("$"* #,##0.00_);_("$"* \(#,##0.00\);_("$"* "-"??_);_(@_)</c:formatCode>
                <c:ptCount val="1"/>
                <c:pt idx="0">
                  <c:v>52371.119999999995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C-454A-A7F1-A960B71047D3}"/>
            </c:ext>
          </c:extLst>
        </c:ser>
        <c:ser>
          <c:idx val="1"/>
          <c:order val="1"/>
          <c:tx>
            <c:strRef>
              <c:f>Data!$U$9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Data!$V$9</c:f>
              <c:numCache>
                <c:formatCode>_("$"* #,##0.00_);_("$"* \(#,##0.00\);_("$"* "-"??_);_(@_)</c:formatCode>
                <c:ptCount val="1"/>
                <c:pt idx="0">
                  <c:v>6838.8000000000011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C-454A-A7F1-A960B7104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880752"/>
        <c:axId val="2075752016"/>
      </c:barChart>
      <c:catAx>
        <c:axId val="195088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52016"/>
        <c:crosses val="autoZero"/>
        <c:auto val="1"/>
        <c:lblAlgn val="ctr"/>
        <c:lblOffset val="100"/>
        <c:noMultiLvlLbl val="0"/>
      </c:catAx>
      <c:valAx>
        <c:axId val="20757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88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76200</xdr:colOff>
      <xdr:row>10</xdr:row>
      <xdr:rowOff>7620</xdr:rowOff>
    </xdr:from>
    <xdr:to>
      <xdr:col>22</xdr:col>
      <xdr:colOff>495300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7D541-8CB7-008E-2E72-268B6FC46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464251736114" createdVersion="8" refreshedVersion="8" minRefreshableVersion="3" recordCount="70" xr:uid="{C3178CF9-9D41-4A19-BAB9-16DFC4B2217F}">
  <cacheSource type="worksheet">
    <worksheetSource name="Table1"/>
  </cacheSource>
  <cacheFields count="11">
    <cacheField name="Order No" numFmtId="0">
      <sharedItems count="70"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</sharedItems>
    </cacheField>
    <cacheField name="Order Date" numFmtId="14">
      <sharedItems containsSemiMixedTypes="0" containsNonDate="0" containsDate="1" containsString="0" minDate="2024-01-01T00:00:00" maxDate="2024-02-05T00:00:00" count="3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</sharedItems>
      <fieldGroup par="10"/>
    </cacheField>
    <cacheField name="Customer Name" numFmtId="0">
      <sharedItems count="51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  <s v="Sarah Johnson"/>
        <s v="Matthew Garcia"/>
        <s v="Daniel Hernandez"/>
        <s v="Michael Martinez"/>
        <s v="Jessica Wilson"/>
        <s v="David Rodriguez"/>
        <s v="Sarah Gonzalez"/>
        <s v="Matthew Smith"/>
        <s v="Emily Johnson"/>
        <s v="Daniel Brown"/>
        <s v="Jennifer Hernandez"/>
        <s v="Michael Davis"/>
        <s v="Jessica Smith"/>
        <s v="David Martinez"/>
      </sharedItems>
    </cacheField>
    <cacheField name="Ship Date" numFmtId="14">
      <sharedItems containsSemiMixedTypes="0" containsNonDate="0" containsDate="1" containsString="0" minDate="2024-01-03T00:00:00" maxDate="2024-02-09T00:00:00"/>
    </cacheField>
    <cacheField name="Retail Price (USD)" numFmtId="0">
      <sharedItems containsSemiMixedTypes="0" containsString="0" containsNumber="1" minValue="19.989999999999998" maxValue="199.99"/>
    </cacheField>
    <cacheField name="Order Quantity" numFmtId="0">
      <sharedItems containsSemiMixedTypes="0" containsString="0" containsNumber="1" containsInteger="1" minValue="1" maxValue="5"/>
    </cacheField>
    <cacheField name="Tax (USD)" numFmtId="0">
      <sharedItems containsSemiMixedTypes="0" containsString="0" containsNumber="1" minValue="149.94999999999999" maxValue="1499.85"/>
    </cacheField>
    <cacheField name="Total (USD)" numFmtId="0">
      <sharedItems containsSemiMixedTypes="0" containsString="0" containsNumber="1" minValue="179.94" maxValue="1799.82"/>
    </cacheField>
    <cacheField name="Shipping Time" numFmtId="0">
      <sharedItems containsSemiMixedTypes="0" containsString="0" containsNumber="1" containsInteger="1" minValue="1" maxValue="5"/>
    </cacheField>
    <cacheField name="Days (Order Date)" numFmtId="0" databaseField="0">
      <fieldGroup base="1">
        <rangePr groupBy="days" startDate="2024-01-01T00:00:00" endDate="2024-02-05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5/2024"/>
        </groupItems>
      </fieldGroup>
    </cacheField>
    <cacheField name="Months (Order Date)" numFmtId="0" databaseField="0">
      <fieldGroup base="1">
        <rangePr groupBy="months" startDate="2024-01-01T00:00:00" endDate="2024-02-05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5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481798032408" createdVersion="8" refreshedVersion="8" minRefreshableVersion="3" recordCount="71" xr:uid="{1BDD1A17-643A-4DAC-BFD2-6208EF768A4E}">
  <cacheSource type="worksheet">
    <worksheetSource ref="A1:J1048576" sheet="Data"/>
  </cacheSource>
  <cacheFields count="10">
    <cacheField name="Order No" numFmtId="0">
      <sharedItems containsBlank="1"/>
    </cacheField>
    <cacheField name="Order Date" numFmtId="0">
      <sharedItems containsNonDate="0" containsDate="1" containsString="0" containsBlank="1" minDate="2024-01-01T00:00:00" maxDate="2024-02-05T00:00:00"/>
    </cacheField>
    <cacheField name="Customer Name" numFmtId="0">
      <sharedItems containsBlank="1" count="52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  <s v="Sarah Johnson"/>
        <s v="Matthew Garcia"/>
        <s v="Daniel Hernandez"/>
        <s v="Michael Martinez"/>
        <s v="Jessica Wilson"/>
        <s v="David Rodriguez"/>
        <s v="Sarah Gonzalez"/>
        <s v="Matthew Smith"/>
        <s v="Emily Johnson"/>
        <s v="Daniel Brown"/>
        <s v="Jennifer Hernandez"/>
        <s v="Michael Davis"/>
        <s v="Jessica Smith"/>
        <s v="David Martinez"/>
        <m/>
      </sharedItems>
    </cacheField>
    <cacheField name="Ship Date" numFmtId="0">
      <sharedItems containsNonDate="0" containsDate="1" containsString="0" containsBlank="1" minDate="2024-01-03T00:00:00" maxDate="2024-02-09T00:00:00"/>
    </cacheField>
    <cacheField name="Retail Price (USD)" numFmtId="0">
      <sharedItems containsString="0" containsBlank="1" containsNumber="1" minValue="19.989999999999998" maxValue="199.99"/>
    </cacheField>
    <cacheField name="Order Quantity" numFmtId="0">
      <sharedItems containsString="0" containsBlank="1" containsNumber="1" containsInteger="1" minValue="1" maxValue="5"/>
    </cacheField>
    <cacheField name="Tax (USD)" numFmtId="0">
      <sharedItems containsString="0" containsBlank="1" containsNumber="1" minValue="149.94999999999999" maxValue="1499.85"/>
    </cacheField>
    <cacheField name="Total (USD)" numFmtId="0">
      <sharedItems containsString="0" containsBlank="1" containsNumber="1" minValue="179.94" maxValue="1799.82"/>
    </cacheField>
    <cacheField name="Shipping Time" numFmtId="0">
      <sharedItems containsString="0" containsBlank="1" containsNumber="1" containsInteger="1" minValue="1" maxValue="5"/>
    </cacheField>
    <cacheField name="Repeat" numFmtId="0">
      <sharedItems containsBlank="1" count="3">
        <s v="New"/>
        <s v="Repea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d v="2024-01-03T00:00:00"/>
    <n v="49.99"/>
    <n v="2"/>
    <n v="499.90000000000003"/>
    <n v="599.88"/>
    <n v="2"/>
  </r>
  <r>
    <x v="1"/>
    <x v="0"/>
    <x v="1"/>
    <d v="2024-01-04T00:00:00"/>
    <n v="29.99"/>
    <n v="1"/>
    <n v="149.94999999999999"/>
    <n v="179.94"/>
    <n v="3"/>
  </r>
  <r>
    <x v="2"/>
    <x v="1"/>
    <x v="2"/>
    <d v="2024-01-07T00:00:00"/>
    <n v="99.99"/>
    <n v="3"/>
    <n v="1499.85"/>
    <n v="1799.82"/>
    <n v="5"/>
  </r>
  <r>
    <x v="3"/>
    <x v="1"/>
    <x v="3"/>
    <d v="2024-01-03T00:00:00"/>
    <n v="19.989999999999998"/>
    <n v="4"/>
    <n v="399.79999999999995"/>
    <n v="479.75999999999993"/>
    <n v="1"/>
  </r>
  <r>
    <x v="4"/>
    <x v="2"/>
    <x v="4"/>
    <d v="2024-01-08T00:00:00"/>
    <n v="149.99"/>
    <n v="1"/>
    <n v="749.95"/>
    <n v="899.94"/>
    <n v="5"/>
  </r>
  <r>
    <x v="5"/>
    <x v="2"/>
    <x v="5"/>
    <d v="2024-01-06T00:00:00"/>
    <n v="79.989999999999995"/>
    <n v="2"/>
    <n v="799.9"/>
    <n v="959.88"/>
    <n v="3"/>
  </r>
  <r>
    <x v="6"/>
    <x v="3"/>
    <x v="6"/>
    <d v="2024-01-06T00:00:00"/>
    <n v="39.99"/>
    <n v="3"/>
    <n v="599.85"/>
    <n v="719.82"/>
    <n v="2"/>
  </r>
  <r>
    <x v="7"/>
    <x v="3"/>
    <x v="7"/>
    <d v="2024-01-09T00:00:00"/>
    <n v="69.989999999999995"/>
    <n v="2"/>
    <n v="699.9"/>
    <n v="839.88"/>
    <n v="5"/>
  </r>
  <r>
    <x v="8"/>
    <x v="4"/>
    <x v="8"/>
    <d v="2024-01-06T00:00:00"/>
    <n v="89.99"/>
    <n v="1"/>
    <n v="449.95"/>
    <n v="539.93999999999994"/>
    <n v="1"/>
  </r>
  <r>
    <x v="9"/>
    <x v="4"/>
    <x v="9"/>
    <d v="2024-01-08T00:00:00"/>
    <n v="199.99"/>
    <n v="1"/>
    <n v="999.95"/>
    <n v="1199.94"/>
    <n v="3"/>
  </r>
  <r>
    <x v="10"/>
    <x v="5"/>
    <x v="10"/>
    <d v="2024-01-07T00:00:00"/>
    <n v="29.99"/>
    <n v="5"/>
    <n v="749.75"/>
    <n v="899.7"/>
    <n v="1"/>
  </r>
  <r>
    <x v="11"/>
    <x v="5"/>
    <x v="11"/>
    <d v="2024-01-08T00:00:00"/>
    <n v="79.989999999999995"/>
    <n v="2"/>
    <n v="799.9"/>
    <n v="959.88"/>
    <n v="2"/>
  </r>
  <r>
    <x v="12"/>
    <x v="6"/>
    <x v="12"/>
    <d v="2024-01-09T00:00:00"/>
    <n v="49.99"/>
    <n v="3"/>
    <n v="749.85"/>
    <n v="899.82"/>
    <n v="2"/>
  </r>
  <r>
    <x v="13"/>
    <x v="6"/>
    <x v="13"/>
    <d v="2024-01-12T00:00:00"/>
    <n v="129.99"/>
    <n v="1"/>
    <n v="649.95000000000005"/>
    <n v="779.94"/>
    <n v="5"/>
  </r>
  <r>
    <x v="14"/>
    <x v="7"/>
    <x v="14"/>
    <d v="2024-01-13T00:00:00"/>
    <n v="19.989999999999998"/>
    <n v="4"/>
    <n v="399.79999999999995"/>
    <n v="479.75999999999993"/>
    <n v="5"/>
  </r>
  <r>
    <x v="15"/>
    <x v="7"/>
    <x v="15"/>
    <d v="2024-01-12T00:00:00"/>
    <n v="149.99"/>
    <n v="1"/>
    <n v="749.95"/>
    <n v="899.94"/>
    <n v="4"/>
  </r>
  <r>
    <x v="16"/>
    <x v="8"/>
    <x v="16"/>
    <d v="2024-01-14T00:00:00"/>
    <n v="69.989999999999995"/>
    <n v="2"/>
    <n v="699.9"/>
    <n v="839.88"/>
    <n v="5"/>
  </r>
  <r>
    <x v="17"/>
    <x v="8"/>
    <x v="17"/>
    <d v="2024-01-12T00:00:00"/>
    <n v="39.99"/>
    <n v="3"/>
    <n v="599.85"/>
    <n v="719.82"/>
    <n v="3"/>
  </r>
  <r>
    <x v="18"/>
    <x v="9"/>
    <x v="18"/>
    <d v="2024-01-11T00:00:00"/>
    <n v="199.99"/>
    <n v="1"/>
    <n v="999.95"/>
    <n v="1199.94"/>
    <n v="1"/>
  </r>
  <r>
    <x v="19"/>
    <x v="9"/>
    <x v="19"/>
    <d v="2024-01-14T00:00:00"/>
    <n v="29.99"/>
    <n v="5"/>
    <n v="749.75"/>
    <n v="899.7"/>
    <n v="4"/>
  </r>
  <r>
    <x v="20"/>
    <x v="10"/>
    <x v="20"/>
    <d v="2024-01-14T00:00:00"/>
    <n v="79.989999999999995"/>
    <n v="2"/>
    <n v="799.9"/>
    <n v="959.88"/>
    <n v="3"/>
  </r>
  <r>
    <x v="21"/>
    <x v="10"/>
    <x v="21"/>
    <d v="2024-01-15T00:00:00"/>
    <n v="49.99"/>
    <n v="3"/>
    <n v="749.85"/>
    <n v="899.82"/>
    <n v="4"/>
  </r>
  <r>
    <x v="22"/>
    <x v="11"/>
    <x v="22"/>
    <d v="2024-01-17T00:00:00"/>
    <n v="129.99"/>
    <n v="1"/>
    <n v="649.95000000000005"/>
    <n v="779.94"/>
    <n v="5"/>
  </r>
  <r>
    <x v="23"/>
    <x v="11"/>
    <x v="23"/>
    <d v="2024-01-17T00:00:00"/>
    <n v="19.989999999999998"/>
    <n v="4"/>
    <n v="399.79999999999995"/>
    <n v="479.75999999999993"/>
    <n v="5"/>
  </r>
  <r>
    <x v="24"/>
    <x v="12"/>
    <x v="4"/>
    <d v="2024-01-17T00:00:00"/>
    <n v="149.99"/>
    <n v="1"/>
    <n v="749.95"/>
    <n v="899.94"/>
    <n v="4"/>
  </r>
  <r>
    <x v="25"/>
    <x v="12"/>
    <x v="24"/>
    <d v="2024-01-14T00:00:00"/>
    <n v="69.989999999999995"/>
    <n v="2"/>
    <n v="699.9"/>
    <n v="839.88"/>
    <n v="1"/>
  </r>
  <r>
    <x v="26"/>
    <x v="13"/>
    <x v="25"/>
    <d v="2024-01-18T00:00:00"/>
    <n v="39.99"/>
    <n v="3"/>
    <n v="599.85"/>
    <n v="719.82"/>
    <n v="4"/>
  </r>
  <r>
    <x v="27"/>
    <x v="13"/>
    <x v="26"/>
    <d v="2024-01-19T00:00:00"/>
    <n v="199.99"/>
    <n v="1"/>
    <n v="999.95"/>
    <n v="1199.94"/>
    <n v="5"/>
  </r>
  <r>
    <x v="28"/>
    <x v="14"/>
    <x v="27"/>
    <d v="2024-01-19T00:00:00"/>
    <n v="29.99"/>
    <n v="5"/>
    <n v="749.75"/>
    <n v="899.7"/>
    <n v="4"/>
  </r>
  <r>
    <x v="29"/>
    <x v="14"/>
    <x v="28"/>
    <d v="2024-01-19T00:00:00"/>
    <n v="79.989999999999995"/>
    <n v="2"/>
    <n v="799.9"/>
    <n v="959.88"/>
    <n v="4"/>
  </r>
  <r>
    <x v="30"/>
    <x v="15"/>
    <x v="29"/>
    <d v="2024-01-19T00:00:00"/>
    <n v="49.99"/>
    <n v="3"/>
    <n v="749.85"/>
    <n v="899.82"/>
    <n v="3"/>
  </r>
  <r>
    <x v="31"/>
    <x v="15"/>
    <x v="30"/>
    <d v="2024-01-17T00:00:00"/>
    <n v="129.99"/>
    <n v="1"/>
    <n v="649.95000000000005"/>
    <n v="779.94"/>
    <n v="1"/>
  </r>
  <r>
    <x v="32"/>
    <x v="16"/>
    <x v="31"/>
    <d v="2024-01-19T00:00:00"/>
    <n v="19.989999999999998"/>
    <n v="4"/>
    <n v="399.79999999999995"/>
    <n v="479.75999999999993"/>
    <n v="2"/>
  </r>
  <r>
    <x v="33"/>
    <x v="16"/>
    <x v="32"/>
    <d v="2024-01-19T00:00:00"/>
    <n v="149.99"/>
    <n v="1"/>
    <n v="749.95"/>
    <n v="899.94"/>
    <n v="2"/>
  </r>
  <r>
    <x v="34"/>
    <x v="17"/>
    <x v="33"/>
    <d v="2024-01-23T00:00:00"/>
    <n v="69.989999999999995"/>
    <n v="2"/>
    <n v="699.9"/>
    <n v="839.88"/>
    <n v="5"/>
  </r>
  <r>
    <x v="35"/>
    <x v="17"/>
    <x v="34"/>
    <d v="2024-01-19T00:00:00"/>
    <n v="39.99"/>
    <n v="3"/>
    <n v="599.85"/>
    <n v="719.82"/>
    <n v="1"/>
  </r>
  <r>
    <x v="36"/>
    <x v="18"/>
    <x v="35"/>
    <d v="2024-01-20T00:00:00"/>
    <n v="199.99"/>
    <n v="1"/>
    <n v="999.95"/>
    <n v="1199.94"/>
    <n v="1"/>
  </r>
  <r>
    <x v="37"/>
    <x v="18"/>
    <x v="36"/>
    <d v="2024-01-22T00:00:00"/>
    <n v="29.99"/>
    <n v="5"/>
    <n v="749.75"/>
    <n v="899.7"/>
    <n v="3"/>
  </r>
  <r>
    <x v="38"/>
    <x v="19"/>
    <x v="2"/>
    <d v="2024-01-24T00:00:00"/>
    <n v="79.989999999999995"/>
    <n v="2"/>
    <n v="799.9"/>
    <n v="959.88"/>
    <n v="4"/>
  </r>
  <r>
    <x v="39"/>
    <x v="19"/>
    <x v="23"/>
    <d v="2024-01-21T00:00:00"/>
    <n v="49.99"/>
    <n v="3"/>
    <n v="749.85"/>
    <n v="899.82"/>
    <n v="1"/>
  </r>
  <r>
    <x v="40"/>
    <x v="20"/>
    <x v="4"/>
    <d v="2024-01-26T00:00:00"/>
    <n v="129.99"/>
    <n v="1"/>
    <n v="649.95000000000005"/>
    <n v="779.94"/>
    <n v="5"/>
  </r>
  <r>
    <x v="41"/>
    <x v="20"/>
    <x v="37"/>
    <d v="2024-01-23T00:00:00"/>
    <n v="19.989999999999998"/>
    <n v="4"/>
    <n v="399.79999999999995"/>
    <n v="479.75999999999993"/>
    <n v="2"/>
  </r>
  <r>
    <x v="42"/>
    <x v="21"/>
    <x v="38"/>
    <d v="2024-01-25T00:00:00"/>
    <n v="149.99"/>
    <n v="1"/>
    <n v="749.95"/>
    <n v="899.94"/>
    <n v="3"/>
  </r>
  <r>
    <x v="43"/>
    <x v="21"/>
    <x v="3"/>
    <d v="2024-01-25T00:00:00"/>
    <n v="69.989999999999995"/>
    <n v="2"/>
    <n v="699.9"/>
    <n v="839.88"/>
    <n v="3"/>
  </r>
  <r>
    <x v="44"/>
    <x v="22"/>
    <x v="39"/>
    <d v="2024-01-27T00:00:00"/>
    <n v="39.99"/>
    <n v="3"/>
    <n v="599.85"/>
    <n v="719.82"/>
    <n v="4"/>
  </r>
  <r>
    <x v="45"/>
    <x v="22"/>
    <x v="19"/>
    <d v="2024-01-26T00:00:00"/>
    <n v="199.99"/>
    <n v="1"/>
    <n v="999.95"/>
    <n v="1199.94"/>
    <n v="3"/>
  </r>
  <r>
    <x v="46"/>
    <x v="23"/>
    <x v="40"/>
    <d v="2024-01-25T00:00:00"/>
    <n v="29.99"/>
    <n v="5"/>
    <n v="749.75"/>
    <n v="899.7"/>
    <n v="1"/>
  </r>
  <r>
    <x v="47"/>
    <x v="23"/>
    <x v="41"/>
    <d v="2024-01-26T00:00:00"/>
    <n v="79.989999999999995"/>
    <n v="2"/>
    <n v="799.9"/>
    <n v="959.88"/>
    <n v="2"/>
  </r>
  <r>
    <x v="48"/>
    <x v="24"/>
    <x v="42"/>
    <d v="2024-01-30T00:00:00"/>
    <n v="49.99"/>
    <n v="3"/>
    <n v="749.85"/>
    <n v="899.82"/>
    <n v="5"/>
  </r>
  <r>
    <x v="49"/>
    <x v="24"/>
    <x v="43"/>
    <d v="2024-01-27T00:00:00"/>
    <n v="129.99"/>
    <n v="1"/>
    <n v="649.95000000000005"/>
    <n v="779.94"/>
    <n v="2"/>
  </r>
  <r>
    <x v="50"/>
    <x v="25"/>
    <x v="44"/>
    <d v="2024-01-29T00:00:00"/>
    <n v="19.989999999999998"/>
    <n v="4"/>
    <n v="399.79999999999995"/>
    <n v="479.75999999999993"/>
    <n v="3"/>
  </r>
  <r>
    <x v="51"/>
    <x v="25"/>
    <x v="45"/>
    <d v="2024-01-28T00:00:00"/>
    <n v="149.99"/>
    <n v="1"/>
    <n v="749.95"/>
    <n v="899.94"/>
    <n v="2"/>
  </r>
  <r>
    <x v="52"/>
    <x v="26"/>
    <x v="46"/>
    <d v="2024-01-31T00:00:00"/>
    <n v="69.989999999999995"/>
    <n v="2"/>
    <n v="699.9"/>
    <n v="839.88"/>
    <n v="4"/>
  </r>
  <r>
    <x v="53"/>
    <x v="26"/>
    <x v="47"/>
    <d v="2024-01-31T00:00:00"/>
    <n v="39.99"/>
    <n v="3"/>
    <n v="599.85"/>
    <n v="719.82"/>
    <n v="4"/>
  </r>
  <r>
    <x v="54"/>
    <x v="27"/>
    <x v="48"/>
    <d v="2024-01-29T00:00:00"/>
    <n v="199.99"/>
    <n v="1"/>
    <n v="999.95"/>
    <n v="1199.94"/>
    <n v="1"/>
  </r>
  <r>
    <x v="55"/>
    <x v="27"/>
    <x v="49"/>
    <d v="2024-01-29T00:00:00"/>
    <n v="29.99"/>
    <n v="5"/>
    <n v="749.75"/>
    <n v="899.7"/>
    <n v="1"/>
  </r>
  <r>
    <x v="56"/>
    <x v="28"/>
    <x v="50"/>
    <d v="2024-01-30T00:00:00"/>
    <n v="79.989999999999995"/>
    <n v="2"/>
    <n v="799.9"/>
    <n v="959.88"/>
    <n v="1"/>
  </r>
  <r>
    <x v="57"/>
    <x v="28"/>
    <x v="37"/>
    <d v="2024-01-31T00:00:00"/>
    <n v="49.99"/>
    <n v="3"/>
    <n v="749.85"/>
    <n v="899.82"/>
    <n v="2"/>
  </r>
  <r>
    <x v="58"/>
    <x v="29"/>
    <x v="38"/>
    <d v="2024-01-31T00:00:00"/>
    <n v="129.99"/>
    <n v="1"/>
    <n v="649.95000000000005"/>
    <n v="779.94"/>
    <n v="1"/>
  </r>
  <r>
    <x v="59"/>
    <x v="29"/>
    <x v="3"/>
    <d v="2024-02-01T00:00:00"/>
    <n v="19.989999999999998"/>
    <n v="4"/>
    <n v="399.79999999999995"/>
    <n v="479.75999999999993"/>
    <n v="2"/>
  </r>
  <r>
    <x v="60"/>
    <x v="30"/>
    <x v="39"/>
    <d v="2024-02-02T00:00:00"/>
    <n v="149.99"/>
    <n v="1"/>
    <n v="749.95"/>
    <n v="899.94"/>
    <n v="2"/>
  </r>
  <r>
    <x v="61"/>
    <x v="30"/>
    <x v="19"/>
    <d v="2024-02-04T00:00:00"/>
    <n v="69.989999999999995"/>
    <n v="2"/>
    <n v="699.9"/>
    <n v="839.88"/>
    <n v="4"/>
  </r>
  <r>
    <x v="62"/>
    <x v="31"/>
    <x v="40"/>
    <d v="2024-02-02T00:00:00"/>
    <n v="39.99"/>
    <n v="3"/>
    <n v="599.85"/>
    <n v="719.82"/>
    <n v="1"/>
  </r>
  <r>
    <x v="63"/>
    <x v="31"/>
    <x v="41"/>
    <d v="2024-02-05T00:00:00"/>
    <n v="199.99"/>
    <n v="1"/>
    <n v="999.95"/>
    <n v="1199.94"/>
    <n v="4"/>
  </r>
  <r>
    <x v="64"/>
    <x v="31"/>
    <x v="42"/>
    <d v="2024-02-03T00:00:00"/>
    <n v="29.99"/>
    <n v="5"/>
    <n v="749.75"/>
    <n v="899.7"/>
    <n v="2"/>
  </r>
  <r>
    <x v="65"/>
    <x v="32"/>
    <x v="43"/>
    <d v="2024-02-06T00:00:00"/>
    <n v="79.989999999999995"/>
    <n v="2"/>
    <n v="799.9"/>
    <n v="959.88"/>
    <n v="4"/>
  </r>
  <r>
    <x v="66"/>
    <x v="33"/>
    <x v="44"/>
    <d v="2024-02-06T00:00:00"/>
    <n v="49.99"/>
    <n v="3"/>
    <n v="749.85"/>
    <n v="899.82"/>
    <n v="3"/>
  </r>
  <r>
    <x v="67"/>
    <x v="34"/>
    <x v="45"/>
    <d v="2024-02-05T00:00:00"/>
    <n v="129.99"/>
    <n v="1"/>
    <n v="649.95000000000005"/>
    <n v="779.94"/>
    <n v="1"/>
  </r>
  <r>
    <x v="68"/>
    <x v="34"/>
    <x v="46"/>
    <d v="2024-02-08T00:00:00"/>
    <n v="19.989999999999998"/>
    <n v="4"/>
    <n v="399.79999999999995"/>
    <n v="479.75999999999993"/>
    <n v="4"/>
  </r>
  <r>
    <x v="69"/>
    <x v="34"/>
    <x v="47"/>
    <d v="2024-02-07T00:00:00"/>
    <n v="149.99"/>
    <n v="1"/>
    <n v="749.95"/>
    <n v="899.94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1001"/>
    <d v="2024-01-01T00:00:00"/>
    <x v="0"/>
    <d v="2024-01-03T00:00:00"/>
    <n v="49.99"/>
    <n v="2"/>
    <n v="499.90000000000003"/>
    <n v="599.88"/>
    <n v="2"/>
    <x v="0"/>
  </r>
  <r>
    <s v="1002"/>
    <d v="2024-01-01T00:00:00"/>
    <x v="1"/>
    <d v="2024-01-04T00:00:00"/>
    <n v="29.99"/>
    <n v="1"/>
    <n v="149.94999999999999"/>
    <n v="179.94"/>
    <n v="3"/>
    <x v="0"/>
  </r>
  <r>
    <s v="1003"/>
    <d v="2024-01-02T00:00:00"/>
    <x v="2"/>
    <d v="2024-01-07T00:00:00"/>
    <n v="99.99"/>
    <n v="3"/>
    <n v="1499.85"/>
    <n v="1799.82"/>
    <n v="5"/>
    <x v="1"/>
  </r>
  <r>
    <s v="1004"/>
    <d v="2024-01-02T00:00:00"/>
    <x v="3"/>
    <d v="2024-01-03T00:00:00"/>
    <n v="19.989999999999998"/>
    <n v="4"/>
    <n v="399.79999999999995"/>
    <n v="479.75999999999993"/>
    <n v="1"/>
    <x v="1"/>
  </r>
  <r>
    <s v="1005"/>
    <d v="2024-01-03T00:00:00"/>
    <x v="4"/>
    <d v="2024-01-08T00:00:00"/>
    <n v="149.99"/>
    <n v="1"/>
    <n v="749.95"/>
    <n v="899.94"/>
    <n v="5"/>
    <x v="1"/>
  </r>
  <r>
    <s v="1006"/>
    <d v="2024-01-03T00:00:00"/>
    <x v="5"/>
    <d v="2024-01-06T00:00:00"/>
    <n v="79.989999999999995"/>
    <n v="2"/>
    <n v="799.9"/>
    <n v="959.88"/>
    <n v="3"/>
    <x v="0"/>
  </r>
  <r>
    <s v="1007"/>
    <d v="2024-01-04T00:00:00"/>
    <x v="6"/>
    <d v="2024-01-06T00:00:00"/>
    <n v="39.99"/>
    <n v="3"/>
    <n v="599.85"/>
    <n v="719.82"/>
    <n v="2"/>
    <x v="0"/>
  </r>
  <r>
    <s v="1008"/>
    <d v="2024-01-04T00:00:00"/>
    <x v="7"/>
    <d v="2024-01-09T00:00:00"/>
    <n v="69.989999999999995"/>
    <n v="2"/>
    <n v="699.9"/>
    <n v="839.88"/>
    <n v="5"/>
    <x v="0"/>
  </r>
  <r>
    <s v="1009"/>
    <d v="2024-01-05T00:00:00"/>
    <x v="8"/>
    <d v="2024-01-06T00:00:00"/>
    <n v="89.99"/>
    <n v="1"/>
    <n v="449.95"/>
    <n v="539.93999999999994"/>
    <n v="1"/>
    <x v="0"/>
  </r>
  <r>
    <s v="1010"/>
    <d v="2024-01-05T00:00:00"/>
    <x v="9"/>
    <d v="2024-01-08T00:00:00"/>
    <n v="199.99"/>
    <n v="1"/>
    <n v="999.95"/>
    <n v="1199.94"/>
    <n v="3"/>
    <x v="0"/>
  </r>
  <r>
    <s v="1011"/>
    <d v="2024-01-06T00:00:00"/>
    <x v="10"/>
    <d v="2024-01-07T00:00:00"/>
    <n v="29.99"/>
    <n v="5"/>
    <n v="749.75"/>
    <n v="899.7"/>
    <n v="1"/>
    <x v="0"/>
  </r>
  <r>
    <s v="1012"/>
    <d v="2024-01-06T00:00:00"/>
    <x v="11"/>
    <d v="2024-01-08T00:00:00"/>
    <n v="79.989999999999995"/>
    <n v="2"/>
    <n v="799.9"/>
    <n v="959.88"/>
    <n v="2"/>
    <x v="0"/>
  </r>
  <r>
    <s v="1013"/>
    <d v="2024-01-07T00:00:00"/>
    <x v="12"/>
    <d v="2024-01-09T00:00:00"/>
    <n v="49.99"/>
    <n v="3"/>
    <n v="749.85"/>
    <n v="899.82"/>
    <n v="2"/>
    <x v="0"/>
  </r>
  <r>
    <s v="1014"/>
    <d v="2024-01-07T00:00:00"/>
    <x v="13"/>
    <d v="2024-01-12T00:00:00"/>
    <n v="129.99"/>
    <n v="1"/>
    <n v="649.95000000000005"/>
    <n v="779.94"/>
    <n v="5"/>
    <x v="0"/>
  </r>
  <r>
    <s v="1015"/>
    <d v="2024-01-08T00:00:00"/>
    <x v="14"/>
    <d v="2024-01-13T00:00:00"/>
    <n v="19.989999999999998"/>
    <n v="4"/>
    <n v="399.79999999999995"/>
    <n v="479.75999999999993"/>
    <n v="5"/>
    <x v="0"/>
  </r>
  <r>
    <s v="1016"/>
    <d v="2024-01-08T00:00:00"/>
    <x v="15"/>
    <d v="2024-01-12T00:00:00"/>
    <n v="149.99"/>
    <n v="1"/>
    <n v="749.95"/>
    <n v="899.94"/>
    <n v="4"/>
    <x v="0"/>
  </r>
  <r>
    <s v="1017"/>
    <d v="2024-01-09T00:00:00"/>
    <x v="16"/>
    <d v="2024-01-14T00:00:00"/>
    <n v="69.989999999999995"/>
    <n v="2"/>
    <n v="699.9"/>
    <n v="839.88"/>
    <n v="5"/>
    <x v="0"/>
  </r>
  <r>
    <s v="1018"/>
    <d v="2024-01-09T00:00:00"/>
    <x v="17"/>
    <d v="2024-01-12T00:00:00"/>
    <n v="39.99"/>
    <n v="3"/>
    <n v="599.85"/>
    <n v="719.82"/>
    <n v="3"/>
    <x v="0"/>
  </r>
  <r>
    <s v="1019"/>
    <d v="2024-01-10T00:00:00"/>
    <x v="18"/>
    <d v="2024-01-11T00:00:00"/>
    <n v="199.99"/>
    <n v="1"/>
    <n v="999.95"/>
    <n v="1199.94"/>
    <n v="1"/>
    <x v="0"/>
  </r>
  <r>
    <s v="1020"/>
    <d v="2024-01-10T00:00:00"/>
    <x v="19"/>
    <d v="2024-01-14T00:00:00"/>
    <n v="29.99"/>
    <n v="5"/>
    <n v="749.75"/>
    <n v="899.7"/>
    <n v="4"/>
    <x v="1"/>
  </r>
  <r>
    <s v="1021"/>
    <d v="2024-01-11T00:00:00"/>
    <x v="20"/>
    <d v="2024-01-14T00:00:00"/>
    <n v="79.989999999999995"/>
    <n v="2"/>
    <n v="799.9"/>
    <n v="959.88"/>
    <n v="3"/>
    <x v="0"/>
  </r>
  <r>
    <s v="1022"/>
    <d v="2024-01-11T00:00:00"/>
    <x v="21"/>
    <d v="2024-01-15T00:00:00"/>
    <n v="49.99"/>
    <n v="3"/>
    <n v="749.85"/>
    <n v="899.82"/>
    <n v="4"/>
    <x v="0"/>
  </r>
  <r>
    <s v="1023"/>
    <d v="2024-01-12T00:00:00"/>
    <x v="22"/>
    <d v="2024-01-17T00:00:00"/>
    <n v="129.99"/>
    <n v="1"/>
    <n v="649.95000000000005"/>
    <n v="779.94"/>
    <n v="5"/>
    <x v="0"/>
  </r>
  <r>
    <s v="1024"/>
    <d v="2024-01-12T00:00:00"/>
    <x v="23"/>
    <d v="2024-01-17T00:00:00"/>
    <n v="19.989999999999998"/>
    <n v="4"/>
    <n v="399.79999999999995"/>
    <n v="479.75999999999993"/>
    <n v="5"/>
    <x v="1"/>
  </r>
  <r>
    <s v="1025"/>
    <d v="2024-01-13T00:00:00"/>
    <x v="4"/>
    <d v="2024-01-17T00:00:00"/>
    <n v="149.99"/>
    <n v="1"/>
    <n v="749.95"/>
    <n v="899.94"/>
    <n v="4"/>
    <x v="1"/>
  </r>
  <r>
    <s v="1026"/>
    <d v="2024-01-13T00:00:00"/>
    <x v="24"/>
    <d v="2024-01-14T00:00:00"/>
    <n v="69.989999999999995"/>
    <n v="2"/>
    <n v="699.9"/>
    <n v="839.88"/>
    <n v="1"/>
    <x v="0"/>
  </r>
  <r>
    <s v="1027"/>
    <d v="2024-01-14T00:00:00"/>
    <x v="25"/>
    <d v="2024-01-18T00:00:00"/>
    <n v="39.99"/>
    <n v="3"/>
    <n v="599.85"/>
    <n v="719.82"/>
    <n v="4"/>
    <x v="0"/>
  </r>
  <r>
    <s v="1028"/>
    <d v="2024-01-14T00:00:00"/>
    <x v="26"/>
    <d v="2024-01-19T00:00:00"/>
    <n v="199.99"/>
    <n v="1"/>
    <n v="999.95"/>
    <n v="1199.94"/>
    <n v="5"/>
    <x v="0"/>
  </r>
  <r>
    <s v="1029"/>
    <d v="2024-01-15T00:00:00"/>
    <x v="27"/>
    <d v="2024-01-19T00:00:00"/>
    <n v="29.99"/>
    <n v="5"/>
    <n v="749.75"/>
    <n v="899.7"/>
    <n v="4"/>
    <x v="0"/>
  </r>
  <r>
    <s v="1030"/>
    <d v="2024-01-15T00:00:00"/>
    <x v="28"/>
    <d v="2024-01-19T00:00:00"/>
    <n v="79.989999999999995"/>
    <n v="2"/>
    <n v="799.9"/>
    <n v="959.88"/>
    <n v="4"/>
    <x v="0"/>
  </r>
  <r>
    <s v="1031"/>
    <d v="2024-01-16T00:00:00"/>
    <x v="29"/>
    <d v="2024-01-19T00:00:00"/>
    <n v="49.99"/>
    <n v="3"/>
    <n v="749.85"/>
    <n v="899.82"/>
    <n v="3"/>
    <x v="0"/>
  </r>
  <r>
    <s v="1032"/>
    <d v="2024-01-16T00:00:00"/>
    <x v="30"/>
    <d v="2024-01-17T00:00:00"/>
    <n v="129.99"/>
    <n v="1"/>
    <n v="649.95000000000005"/>
    <n v="779.94"/>
    <n v="1"/>
    <x v="0"/>
  </r>
  <r>
    <s v="1033"/>
    <d v="2024-01-17T00:00:00"/>
    <x v="31"/>
    <d v="2024-01-19T00:00:00"/>
    <n v="19.989999999999998"/>
    <n v="4"/>
    <n v="399.79999999999995"/>
    <n v="479.75999999999993"/>
    <n v="2"/>
    <x v="0"/>
  </r>
  <r>
    <s v="1034"/>
    <d v="2024-01-17T00:00:00"/>
    <x v="32"/>
    <d v="2024-01-19T00:00:00"/>
    <n v="149.99"/>
    <n v="1"/>
    <n v="749.95"/>
    <n v="899.94"/>
    <n v="2"/>
    <x v="0"/>
  </r>
  <r>
    <s v="1035"/>
    <d v="2024-01-18T00:00:00"/>
    <x v="33"/>
    <d v="2024-01-23T00:00:00"/>
    <n v="69.989999999999995"/>
    <n v="2"/>
    <n v="699.9"/>
    <n v="839.88"/>
    <n v="5"/>
    <x v="0"/>
  </r>
  <r>
    <s v="1036"/>
    <d v="2024-01-18T00:00:00"/>
    <x v="34"/>
    <d v="2024-01-19T00:00:00"/>
    <n v="39.99"/>
    <n v="3"/>
    <n v="599.85"/>
    <n v="719.82"/>
    <n v="1"/>
    <x v="0"/>
  </r>
  <r>
    <s v="1037"/>
    <d v="2024-01-19T00:00:00"/>
    <x v="35"/>
    <d v="2024-01-20T00:00:00"/>
    <n v="199.99"/>
    <n v="1"/>
    <n v="999.95"/>
    <n v="1199.94"/>
    <n v="1"/>
    <x v="0"/>
  </r>
  <r>
    <s v="1038"/>
    <d v="2024-01-19T00:00:00"/>
    <x v="36"/>
    <d v="2024-01-22T00:00:00"/>
    <n v="29.99"/>
    <n v="5"/>
    <n v="749.75"/>
    <n v="899.7"/>
    <n v="3"/>
    <x v="0"/>
  </r>
  <r>
    <s v="1039"/>
    <d v="2024-01-20T00:00:00"/>
    <x v="2"/>
    <d v="2024-01-24T00:00:00"/>
    <n v="79.989999999999995"/>
    <n v="2"/>
    <n v="799.9"/>
    <n v="959.88"/>
    <n v="4"/>
    <x v="1"/>
  </r>
  <r>
    <s v="1040"/>
    <d v="2024-01-20T00:00:00"/>
    <x v="23"/>
    <d v="2024-01-21T00:00:00"/>
    <n v="49.99"/>
    <n v="3"/>
    <n v="749.85"/>
    <n v="899.82"/>
    <n v="1"/>
    <x v="1"/>
  </r>
  <r>
    <s v="1041"/>
    <d v="2024-01-21T00:00:00"/>
    <x v="4"/>
    <d v="2024-01-26T00:00:00"/>
    <n v="129.99"/>
    <n v="1"/>
    <n v="649.95000000000005"/>
    <n v="779.94"/>
    <n v="5"/>
    <x v="1"/>
  </r>
  <r>
    <s v="1042"/>
    <d v="2024-01-21T00:00:00"/>
    <x v="37"/>
    <d v="2024-01-23T00:00:00"/>
    <n v="19.989999999999998"/>
    <n v="4"/>
    <n v="399.79999999999995"/>
    <n v="479.75999999999993"/>
    <n v="2"/>
    <x v="1"/>
  </r>
  <r>
    <s v="1043"/>
    <d v="2024-01-22T00:00:00"/>
    <x v="38"/>
    <d v="2024-01-25T00:00:00"/>
    <n v="149.99"/>
    <n v="1"/>
    <n v="749.95"/>
    <n v="899.94"/>
    <n v="3"/>
    <x v="1"/>
  </r>
  <r>
    <s v="1044"/>
    <d v="2024-01-22T00:00:00"/>
    <x v="3"/>
    <d v="2024-01-25T00:00:00"/>
    <n v="69.989999999999995"/>
    <n v="2"/>
    <n v="699.9"/>
    <n v="839.88"/>
    <n v="3"/>
    <x v="1"/>
  </r>
  <r>
    <s v="1045"/>
    <d v="2024-01-23T00:00:00"/>
    <x v="39"/>
    <d v="2024-01-27T00:00:00"/>
    <n v="39.99"/>
    <n v="3"/>
    <n v="599.85"/>
    <n v="719.82"/>
    <n v="4"/>
    <x v="1"/>
  </r>
  <r>
    <s v="1046"/>
    <d v="2024-01-23T00:00:00"/>
    <x v="19"/>
    <d v="2024-01-26T00:00:00"/>
    <n v="199.99"/>
    <n v="1"/>
    <n v="999.95"/>
    <n v="1199.94"/>
    <n v="3"/>
    <x v="1"/>
  </r>
  <r>
    <s v="1047"/>
    <d v="2024-01-24T00:00:00"/>
    <x v="40"/>
    <d v="2024-01-25T00:00:00"/>
    <n v="29.99"/>
    <n v="5"/>
    <n v="749.75"/>
    <n v="899.7"/>
    <n v="1"/>
    <x v="1"/>
  </r>
  <r>
    <s v="1048"/>
    <d v="2024-01-24T00:00:00"/>
    <x v="41"/>
    <d v="2024-01-26T00:00:00"/>
    <n v="79.989999999999995"/>
    <n v="2"/>
    <n v="799.9"/>
    <n v="959.88"/>
    <n v="2"/>
    <x v="1"/>
  </r>
  <r>
    <s v="1049"/>
    <d v="2024-01-25T00:00:00"/>
    <x v="42"/>
    <d v="2024-01-30T00:00:00"/>
    <n v="49.99"/>
    <n v="3"/>
    <n v="749.85"/>
    <n v="899.82"/>
    <n v="5"/>
    <x v="1"/>
  </r>
  <r>
    <s v="1050"/>
    <d v="2024-01-25T00:00:00"/>
    <x v="43"/>
    <d v="2024-01-27T00:00:00"/>
    <n v="129.99"/>
    <n v="1"/>
    <n v="649.95000000000005"/>
    <n v="779.94"/>
    <n v="2"/>
    <x v="1"/>
  </r>
  <r>
    <s v="1051"/>
    <d v="2024-01-26T00:00:00"/>
    <x v="44"/>
    <d v="2024-01-29T00:00:00"/>
    <n v="19.989999999999998"/>
    <n v="4"/>
    <n v="399.79999999999995"/>
    <n v="479.75999999999993"/>
    <n v="3"/>
    <x v="1"/>
  </r>
  <r>
    <s v="1052"/>
    <d v="2024-01-26T00:00:00"/>
    <x v="45"/>
    <d v="2024-01-28T00:00:00"/>
    <n v="149.99"/>
    <n v="1"/>
    <n v="749.95"/>
    <n v="899.94"/>
    <n v="2"/>
    <x v="1"/>
  </r>
  <r>
    <s v="1053"/>
    <d v="2024-01-27T00:00:00"/>
    <x v="46"/>
    <d v="2024-01-31T00:00:00"/>
    <n v="69.989999999999995"/>
    <n v="2"/>
    <n v="699.9"/>
    <n v="839.88"/>
    <n v="4"/>
    <x v="1"/>
  </r>
  <r>
    <s v="1054"/>
    <d v="2024-01-27T00:00:00"/>
    <x v="47"/>
    <d v="2024-01-31T00:00:00"/>
    <n v="39.99"/>
    <n v="3"/>
    <n v="599.85"/>
    <n v="719.82"/>
    <n v="4"/>
    <x v="1"/>
  </r>
  <r>
    <s v="1055"/>
    <d v="2024-01-28T00:00:00"/>
    <x v="48"/>
    <d v="2024-01-29T00:00:00"/>
    <n v="199.99"/>
    <n v="1"/>
    <n v="999.95"/>
    <n v="1199.94"/>
    <n v="1"/>
    <x v="0"/>
  </r>
  <r>
    <s v="1056"/>
    <d v="2024-01-28T00:00:00"/>
    <x v="49"/>
    <d v="2024-01-29T00:00:00"/>
    <n v="29.99"/>
    <n v="5"/>
    <n v="749.75"/>
    <n v="899.7"/>
    <n v="1"/>
    <x v="0"/>
  </r>
  <r>
    <s v="1057"/>
    <d v="2024-01-29T00:00:00"/>
    <x v="50"/>
    <d v="2024-01-30T00:00:00"/>
    <n v="79.989999999999995"/>
    <n v="2"/>
    <n v="799.9"/>
    <n v="959.88"/>
    <n v="1"/>
    <x v="0"/>
  </r>
  <r>
    <s v="1058"/>
    <d v="2024-01-29T00:00:00"/>
    <x v="37"/>
    <d v="2024-01-31T00:00:00"/>
    <n v="49.99"/>
    <n v="3"/>
    <n v="749.85"/>
    <n v="899.82"/>
    <n v="2"/>
    <x v="1"/>
  </r>
  <r>
    <s v="1059"/>
    <d v="2024-01-30T00:00:00"/>
    <x v="38"/>
    <d v="2024-01-31T00:00:00"/>
    <n v="129.99"/>
    <n v="1"/>
    <n v="649.95000000000005"/>
    <n v="779.94"/>
    <n v="1"/>
    <x v="1"/>
  </r>
  <r>
    <s v="1060"/>
    <d v="2024-01-30T00:00:00"/>
    <x v="3"/>
    <d v="2024-02-01T00:00:00"/>
    <n v="19.989999999999998"/>
    <n v="4"/>
    <n v="399.79999999999995"/>
    <n v="479.75999999999993"/>
    <n v="2"/>
    <x v="1"/>
  </r>
  <r>
    <s v="1061"/>
    <d v="2024-01-31T00:00:00"/>
    <x v="39"/>
    <d v="2024-02-02T00:00:00"/>
    <n v="149.99"/>
    <n v="1"/>
    <n v="749.95"/>
    <n v="899.94"/>
    <n v="2"/>
    <x v="1"/>
  </r>
  <r>
    <s v="1062"/>
    <d v="2024-01-31T00:00:00"/>
    <x v="19"/>
    <d v="2024-02-04T00:00:00"/>
    <n v="69.989999999999995"/>
    <n v="2"/>
    <n v="699.9"/>
    <n v="839.88"/>
    <n v="4"/>
    <x v="1"/>
  </r>
  <r>
    <s v="1063"/>
    <d v="2024-02-01T00:00:00"/>
    <x v="40"/>
    <d v="2024-02-02T00:00:00"/>
    <n v="39.99"/>
    <n v="3"/>
    <n v="599.85"/>
    <n v="719.82"/>
    <n v="1"/>
    <x v="1"/>
  </r>
  <r>
    <s v="1064"/>
    <d v="2024-02-01T00:00:00"/>
    <x v="41"/>
    <d v="2024-02-05T00:00:00"/>
    <n v="199.99"/>
    <n v="1"/>
    <n v="999.95"/>
    <n v="1199.94"/>
    <n v="4"/>
    <x v="1"/>
  </r>
  <r>
    <s v="1065"/>
    <d v="2024-02-01T00:00:00"/>
    <x v="42"/>
    <d v="2024-02-03T00:00:00"/>
    <n v="29.99"/>
    <n v="5"/>
    <n v="749.75"/>
    <n v="899.7"/>
    <n v="2"/>
    <x v="1"/>
  </r>
  <r>
    <s v="1066"/>
    <d v="2024-02-02T00:00:00"/>
    <x v="43"/>
    <d v="2024-02-06T00:00:00"/>
    <n v="79.989999999999995"/>
    <n v="2"/>
    <n v="799.9"/>
    <n v="959.88"/>
    <n v="4"/>
    <x v="1"/>
  </r>
  <r>
    <s v="1067"/>
    <d v="2024-02-03T00:00:00"/>
    <x v="44"/>
    <d v="2024-02-06T00:00:00"/>
    <n v="49.99"/>
    <n v="3"/>
    <n v="749.85"/>
    <n v="899.82"/>
    <n v="3"/>
    <x v="1"/>
  </r>
  <r>
    <s v="1068"/>
    <d v="2024-02-04T00:00:00"/>
    <x v="45"/>
    <d v="2024-02-05T00:00:00"/>
    <n v="129.99"/>
    <n v="1"/>
    <n v="649.95000000000005"/>
    <n v="779.94"/>
    <n v="1"/>
    <x v="1"/>
  </r>
  <r>
    <s v="1069"/>
    <d v="2024-02-04T00:00:00"/>
    <x v="46"/>
    <d v="2024-02-08T00:00:00"/>
    <n v="19.989999999999998"/>
    <n v="4"/>
    <n v="399.79999999999995"/>
    <n v="479.75999999999993"/>
    <n v="4"/>
    <x v="1"/>
  </r>
  <r>
    <s v="1070"/>
    <d v="2024-02-04T00:00:00"/>
    <x v="47"/>
    <d v="2024-02-07T00:00:00"/>
    <n v="149.99"/>
    <n v="1"/>
    <n v="749.95"/>
    <n v="899.94"/>
    <n v="3"/>
    <x v="1"/>
  </r>
  <r>
    <m/>
    <m/>
    <x v="51"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8DB96-6CBF-4D98-97A7-0256FEF3C100}" name="PivotTable1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V6" firstHeaderRow="1" firstDataRow="1" firstDataCol="1"/>
  <pivotFields count="11">
    <pivotField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3">
    <i>
      <x v="1"/>
    </i>
    <i>
      <x v="2"/>
    </i>
    <i t="grand">
      <x/>
    </i>
  </rowItems>
  <colItems count="1">
    <i/>
  </colItems>
  <dataFields count="1">
    <dataField name="Sum of Total (USD)" fld="7" baseField="0" baseItem="0" numFmtId="44"/>
  </dataFields>
  <formats count="7">
    <format dxfId="8">
      <pivotArea type="all" dataOnly="0" outline="0" fieldPosition="0"/>
    </format>
    <format dxfId="7">
      <pivotArea outline="0" collapsedLevelsAreSubtotals="1" fieldPosition="0"/>
    </format>
    <format dxfId="6">
      <pivotArea field="10" type="button" dataOnly="0" labelOnly="1" outline="0" axis="axisRow" fieldPosition="0"/>
    </format>
    <format dxfId="5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C7861-062F-437D-882E-B626B9C965BE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0:P63" firstHeaderRow="1" firstDataRow="1" firstDataCol="1"/>
  <pivotFields count="11">
    <pivotField axis="axisRow" showAll="0" measureFilter="1" sortType="descending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3">
    <i>
      <x v="23"/>
    </i>
    <i>
      <x v="48"/>
    </i>
    <i>
      <x v="34"/>
    </i>
    <i>
      <x v="4"/>
    </i>
    <i>
      <x v="22"/>
    </i>
    <i>
      <x v="7"/>
    </i>
    <i>
      <x v="27"/>
    </i>
    <i>
      <x v="13"/>
    </i>
    <i>
      <x v="40"/>
    </i>
    <i>
      <x v="14"/>
    </i>
    <i>
      <x v="2"/>
    </i>
    <i>
      <x v="16"/>
    </i>
    <i t="grand">
      <x/>
    </i>
  </rowItems>
  <colItems count="1">
    <i/>
  </colItems>
  <dataFields count="1">
    <dataField name="Sum of Shipping Time" fld="8" baseField="0" baseItem="0"/>
  </dataFields>
  <formats count="18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 axis="axisRow" fieldPosition="0"/>
    </format>
    <format dxfId="78">
      <pivotArea dataOnly="0" labelOnly="1" fieldPosition="0">
        <references count="1">
          <reference field="0" count="12">
            <x v="2"/>
            <x v="4"/>
            <x v="7"/>
            <x v="13"/>
            <x v="14"/>
            <x v="16"/>
            <x v="22"/>
            <x v="23"/>
            <x v="27"/>
            <x v="34"/>
            <x v="40"/>
            <x v="48"/>
          </reference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12">
            <x v="2"/>
            <x v="4"/>
            <x v="7"/>
            <x v="13"/>
            <x v="14"/>
            <x v="16"/>
            <x v="22"/>
            <x v="23"/>
            <x v="27"/>
            <x v="34"/>
            <x v="40"/>
            <x v="48"/>
          </reference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12">
            <x v="2"/>
            <x v="4"/>
            <x v="7"/>
            <x v="13"/>
            <x v="14"/>
            <x v="16"/>
            <x v="22"/>
            <x v="23"/>
            <x v="27"/>
            <x v="34"/>
            <x v="40"/>
            <x v="48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valueEqual" evalOrder="-1" id="5" iMeasureFld="0">
      <autoFilter ref="A1">
        <filterColumn colId="0">
          <customFilters>
            <customFilter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2E493-92B9-4C66-A55E-EE6B37E5EA60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5:P42" firstHeaderRow="1" firstDataRow="1" firstDataCol="1"/>
  <pivotFields count="10">
    <pivotField showAll="0"/>
    <pivotField showAll="0"/>
    <pivotField axis="axisRow" showAll="0" measureFilter="1" sortType="descending">
      <items count="53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</pivotFields>
  <rowFields count="1">
    <field x="2"/>
  </rowFields>
  <rowItems count="17">
    <i>
      <x v="13"/>
    </i>
    <i>
      <x v="14"/>
    </i>
    <i>
      <x v="20"/>
    </i>
    <i>
      <x v="33"/>
    </i>
    <i>
      <x v="6"/>
    </i>
    <i>
      <x v="41"/>
    </i>
    <i>
      <x v="12"/>
    </i>
    <i>
      <x v="28"/>
    </i>
    <i>
      <x v="16"/>
    </i>
    <i>
      <x v="36"/>
    </i>
    <i>
      <x v="47"/>
    </i>
    <i>
      <x v="42"/>
    </i>
    <i>
      <x v="48"/>
    </i>
    <i>
      <x v="26"/>
    </i>
    <i>
      <x v="4"/>
    </i>
    <i>
      <x v="21"/>
    </i>
    <i t="grand">
      <x/>
    </i>
  </rowItems>
  <colItems count="1">
    <i/>
  </colItems>
  <dataFields count="1">
    <dataField name="Count of Repeat" fld="9" subtotal="count" baseField="0" baseItem="0"/>
  </dataFields>
  <formats count="18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16">
            <x v="4"/>
            <x v="6"/>
            <x v="12"/>
            <x v="13"/>
            <x v="14"/>
            <x v="16"/>
            <x v="20"/>
            <x v="21"/>
            <x v="26"/>
            <x v="28"/>
            <x v="33"/>
            <x v="36"/>
            <x v="41"/>
            <x v="42"/>
            <x v="47"/>
            <x v="48"/>
          </reference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16">
            <x v="4"/>
            <x v="6"/>
            <x v="12"/>
            <x v="13"/>
            <x v="14"/>
            <x v="16"/>
            <x v="20"/>
            <x v="21"/>
            <x v="26"/>
            <x v="28"/>
            <x v="33"/>
            <x v="36"/>
            <x v="41"/>
            <x v="42"/>
            <x v="47"/>
            <x v="48"/>
          </reference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2" type="button" dataOnly="0" labelOnly="1" outline="0" axis="axisRow" fieldPosition="0"/>
    </format>
    <format dxfId="24">
      <pivotArea dataOnly="0" labelOnly="1" fieldPosition="0">
        <references count="1">
          <reference field="2" count="16">
            <x v="4"/>
            <x v="6"/>
            <x v="12"/>
            <x v="13"/>
            <x v="14"/>
            <x v="16"/>
            <x v="20"/>
            <x v="21"/>
            <x v="26"/>
            <x v="28"/>
            <x v="33"/>
            <x v="36"/>
            <x v="41"/>
            <x v="42"/>
            <x v="47"/>
            <x v="48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B3603-F477-4FF4-AF86-A15C4E3E336E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O21:P23" firstHeaderRow="1" firstDataRow="1" firstDataCol="1"/>
  <pivotFields count="11">
    <pivotField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 measureFilter="1" sortType="descending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 v="20"/>
    </i>
    <i t="grand">
      <x/>
    </i>
  </rowItems>
  <colItems count="1">
    <i/>
  </colItems>
  <dataFields count="1">
    <dataField name="Sum of Total (USD)" fld="7" baseField="0" baseItem="0" numFmtId="44"/>
  </dataFields>
  <formats count="19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1">
            <x v="20"/>
          </reference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1">
            <x v="20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2" type="button" dataOnly="0" labelOnly="1" outline="0" axis="axisRow" fieldPosition="0"/>
    </format>
    <format dxfId="18">
      <pivotArea dataOnly="0" labelOnly="1" fieldPosition="0">
        <references count="1">
          <reference field="2" count="1">
            <x v="20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265F0-0F51-46C2-A1BE-6275619CC47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3:P19" firstHeaderRow="1" firstDataRow="1" firstDataCol="1"/>
  <pivotFields count="11">
    <pivotField showAll="0"/>
    <pivotField numFmtId="14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 measureFilter="1" sortType="descending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20"/>
    </i>
    <i>
      <x v="41"/>
    </i>
    <i>
      <x v="13"/>
    </i>
    <i>
      <x v="28"/>
    </i>
    <i>
      <x v="12"/>
    </i>
    <i t="grand">
      <x/>
    </i>
  </rowItems>
  <colItems count="1">
    <i/>
  </colItems>
  <dataFields count="1">
    <dataField name="Sum of Total (USD)" fld="7" baseField="0" baseItem="0" numFmtId="44"/>
  </dataFields>
  <formats count="19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5">
            <x v="12"/>
            <x v="13"/>
            <x v="20"/>
            <x v="28"/>
            <x v="41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5">
            <x v="12"/>
            <x v="13"/>
            <x v="20"/>
            <x v="28"/>
            <x v="41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2" count="5">
            <x v="12"/>
            <x v="13"/>
            <x v="20"/>
            <x v="28"/>
            <x v="41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6C450-DD29-49D7-A4E5-AF180AC26814}" name="Table1" displayName="Table1" ref="A1:K71" totalsRowShown="0" headerRowDxfId="84" dataDxfId="85" tableBorderDxfId="94">
  <autoFilter ref="A1:K71" xr:uid="{9706C450-DD29-49D7-A4E5-AF180AC26814}"/>
  <tableColumns count="11">
    <tableColumn id="1" xr3:uid="{77625AC1-7344-4F14-BAE1-20516327AF96}" name="Order No" dataDxfId="93"/>
    <tableColumn id="2" xr3:uid="{0E4D7A40-DDEF-477C-8146-5CF443E7A48E}" name="Order Date" dataDxfId="92"/>
    <tableColumn id="3" xr3:uid="{B2A90ABD-33DF-45D3-9CF1-AA2D85F11CD6}" name="Customer Name" dataDxfId="91"/>
    <tableColumn id="4" xr3:uid="{641F7B80-CBFF-4E0A-A711-85FA2E0EDBF9}" name="Ship Date" dataDxfId="90"/>
    <tableColumn id="5" xr3:uid="{902D65F2-7FAA-4CA8-BB05-E33A3AED80CB}" name="Retail Price (USD)" dataDxfId="89"/>
    <tableColumn id="6" xr3:uid="{C5C2D592-AA67-4E6E-985A-C2ABDEAF3CC7}" name="Order Quantity" dataDxfId="88"/>
    <tableColumn id="7" xr3:uid="{E6B371C9-7A6E-4CF3-8685-2ACB9ABCD959}" name="Tax (USD)" dataDxfId="87">
      <calculatedColumnFormula>E2*F2*$I$6</calculatedColumnFormula>
    </tableColumn>
    <tableColumn id="8" xr3:uid="{E7EB78AD-11EB-4099-BE3E-20A3D7183942}" name="Total (USD)" dataDxfId="86">
      <calculatedColumnFormula>E2*F2+G2</calculatedColumnFormula>
    </tableColumn>
    <tableColumn id="9" xr3:uid="{F34C8467-DE45-44EC-96BF-062617972BA5}" name="Shipping Time" dataDxfId="83">
      <calculatedColumnFormula>Table1[[#This Row],[Ship Date]]-Table1[[#This Row],[Order Date]]</calculatedColumnFormula>
    </tableColumn>
    <tableColumn id="11" xr3:uid="{B2BC4F34-759B-46AD-AD7F-2D629ACE96D3}" name="Repeat" dataDxfId="82">
      <calculatedColumnFormula>IF(COUNTIF(Table1[Customer Name],Table1[[#This Row],[Customer Name]])&gt;1,"Repeat","New")</calculatedColumnFormula>
    </tableColumn>
    <tableColumn id="12" xr3:uid="{47B2DC16-32FE-4F3F-9EE9-1DEA19305B52}" name="Month" dataDxfId="9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H78"/>
  <sheetViews>
    <sheetView workbookViewId="0">
      <selection activeCell="E2" sqref="E2:E10"/>
    </sheetView>
  </sheetViews>
  <sheetFormatPr defaultRowHeight="14.4" x14ac:dyDescent="0.3"/>
  <cols>
    <col min="1" max="1" width="4.44140625" style="6" customWidth="1"/>
    <col min="2" max="2" width="43.44140625" style="6" bestFit="1" customWidth="1"/>
    <col min="3" max="3" width="47.6640625" style="6" bestFit="1" customWidth="1"/>
    <col min="4" max="4" width="1.6640625" style="6" customWidth="1"/>
    <col min="5" max="5" width="25.5546875" style="6" bestFit="1" customWidth="1"/>
    <col min="6" max="6" width="17.33203125" style="6" customWidth="1"/>
    <col min="7" max="7" width="23.21875" style="6" customWidth="1"/>
    <col min="8" max="8" width="13.33203125" style="6" customWidth="1"/>
    <col min="9" max="16384" width="8.88671875" style="6"/>
  </cols>
  <sheetData>
    <row r="2" spans="2:8" ht="18" x14ac:dyDescent="0.35">
      <c r="B2"/>
      <c r="C2" s="20"/>
      <c r="D2" s="5"/>
      <c r="F2" s="20" t="s">
        <v>149</v>
      </c>
      <c r="G2" s="5"/>
      <c r="H2" s="5"/>
    </row>
    <row r="3" spans="2:8" x14ac:dyDescent="0.3">
      <c r="B3"/>
      <c r="C3" s="22"/>
      <c r="F3"/>
    </row>
    <row r="4" spans="2:8" ht="18" x14ac:dyDescent="0.35">
      <c r="B4"/>
      <c r="C4" s="22"/>
      <c r="D4" s="5"/>
      <c r="F4" t="s">
        <v>150</v>
      </c>
      <c r="G4" s="5"/>
      <c r="H4" s="5"/>
    </row>
    <row r="5" spans="2:8" x14ac:dyDescent="0.3">
      <c r="B5"/>
      <c r="C5" s="22"/>
      <c r="F5"/>
    </row>
    <row r="6" spans="2:8" ht="15.6" x14ac:dyDescent="0.3">
      <c r="B6"/>
      <c r="C6" s="22"/>
      <c r="F6" s="21" t="s">
        <v>151</v>
      </c>
      <c r="G6" s="7"/>
      <c r="H6" s="8"/>
    </row>
    <row r="7" spans="2:8" x14ac:dyDescent="0.3">
      <c r="B7"/>
      <c r="C7" s="22"/>
      <c r="F7" t="s">
        <v>152</v>
      </c>
    </row>
    <row r="8" spans="2:8" ht="15.6" x14ac:dyDescent="0.3">
      <c r="B8"/>
      <c r="C8" s="22"/>
      <c r="D8" s="7"/>
      <c r="F8"/>
      <c r="G8" s="7"/>
    </row>
    <row r="9" spans="2:8" x14ac:dyDescent="0.3">
      <c r="B9"/>
      <c r="C9"/>
      <c r="D9" s="10"/>
      <c r="F9" s="21" t="s">
        <v>153</v>
      </c>
      <c r="G9" s="9"/>
    </row>
    <row r="10" spans="2:8" ht="18" x14ac:dyDescent="0.3">
      <c r="B10" s="23"/>
      <c r="C10" s="20"/>
      <c r="D10" s="10"/>
      <c r="F10" s="22"/>
      <c r="G10" s="9"/>
    </row>
    <row r="11" spans="2:8" x14ac:dyDescent="0.3">
      <c r="B11"/>
      <c r="C11" s="22"/>
      <c r="D11" s="10"/>
      <c r="E11"/>
      <c r="F11" s="22" t="s">
        <v>154</v>
      </c>
      <c r="G11" s="9"/>
    </row>
    <row r="12" spans="2:8" x14ac:dyDescent="0.3">
      <c r="B12"/>
      <c r="C12" s="22"/>
      <c r="D12" s="10"/>
      <c r="E12" t="s">
        <v>138</v>
      </c>
      <c r="F12" s="22" t="s">
        <v>155</v>
      </c>
      <c r="G12" s="9"/>
    </row>
    <row r="13" spans="2:8" x14ac:dyDescent="0.3">
      <c r="B13"/>
      <c r="C13" s="22"/>
      <c r="D13" s="10"/>
      <c r="E13" s="22"/>
      <c r="F13" s="22" t="s">
        <v>156</v>
      </c>
      <c r="G13" s="9"/>
    </row>
    <row r="14" spans="2:8" x14ac:dyDescent="0.3">
      <c r="B14"/>
      <c r="C14" s="22"/>
      <c r="D14" s="10"/>
      <c r="E14" s="22" t="s">
        <v>139</v>
      </c>
      <c r="F14" s="22" t="s">
        <v>157</v>
      </c>
      <c r="G14" s="9"/>
    </row>
    <row r="15" spans="2:8" x14ac:dyDescent="0.3">
      <c r="B15"/>
      <c r="C15" s="22"/>
      <c r="D15" s="10"/>
      <c r="E15" s="22" t="s">
        <v>140</v>
      </c>
      <c r="G15" s="9"/>
    </row>
    <row r="16" spans="2:8" x14ac:dyDescent="0.3">
      <c r="B16" s="9"/>
      <c r="C16"/>
      <c r="D16" s="10"/>
      <c r="E16" s="22" t="s">
        <v>141</v>
      </c>
      <c r="G16" s="9"/>
    </row>
    <row r="17" spans="2:8" ht="18" x14ac:dyDescent="0.3">
      <c r="B17" s="9"/>
      <c r="C17" s="20"/>
      <c r="D17" s="10"/>
      <c r="E17" s="22" t="s">
        <v>142</v>
      </c>
      <c r="G17" s="9"/>
    </row>
    <row r="18" spans="2:8" x14ac:dyDescent="0.3">
      <c r="B18"/>
      <c r="C18" s="22"/>
      <c r="D18" s="10"/>
      <c r="E18"/>
      <c r="F18" s="9"/>
      <c r="G18" s="9"/>
      <c r="H18" s="9"/>
    </row>
    <row r="19" spans="2:8" x14ac:dyDescent="0.3">
      <c r="B19"/>
      <c r="C19" s="22"/>
      <c r="D19" s="10"/>
      <c r="E19" s="21" t="s">
        <v>143</v>
      </c>
      <c r="F19" s="9"/>
      <c r="G19" s="9"/>
      <c r="H19" s="9"/>
    </row>
    <row r="20" spans="2:8" x14ac:dyDescent="0.3">
      <c r="B20"/>
      <c r="C20" s="22"/>
      <c r="D20" s="10"/>
      <c r="E20" s="22"/>
      <c r="F20" s="9"/>
      <c r="G20" s="9"/>
      <c r="H20" s="9"/>
    </row>
    <row r="21" spans="2:8" x14ac:dyDescent="0.3">
      <c r="B21" s="9"/>
      <c r="C21" s="22"/>
      <c r="D21" s="10"/>
      <c r="E21" s="22" t="s">
        <v>144</v>
      </c>
      <c r="F21" s="9"/>
      <c r="G21" s="9"/>
      <c r="H21" s="9"/>
    </row>
    <row r="22" spans="2:8" x14ac:dyDescent="0.3">
      <c r="B22" s="9"/>
      <c r="C22"/>
      <c r="D22" s="10"/>
      <c r="E22" s="22" t="s">
        <v>145</v>
      </c>
      <c r="F22" s="9"/>
      <c r="G22" s="9"/>
      <c r="H22" s="9"/>
    </row>
    <row r="23" spans="2:8" ht="18" x14ac:dyDescent="0.3">
      <c r="B23" s="32"/>
      <c r="C23" s="20"/>
      <c r="D23" s="10"/>
      <c r="E23" s="22" t="s">
        <v>146</v>
      </c>
      <c r="F23" s="9"/>
      <c r="G23" s="9"/>
      <c r="H23" s="9"/>
    </row>
    <row r="24" spans="2:8" x14ac:dyDescent="0.3">
      <c r="B24" s="32"/>
      <c r="C24" s="22"/>
      <c r="D24" s="10"/>
      <c r="E24" s="22" t="s">
        <v>147</v>
      </c>
      <c r="F24" s="9"/>
      <c r="G24" s="9"/>
      <c r="H24" s="9"/>
    </row>
    <row r="25" spans="2:8" x14ac:dyDescent="0.3">
      <c r="B25" s="32"/>
      <c r="C25" s="22"/>
      <c r="D25" s="10"/>
      <c r="E25" s="22" t="s">
        <v>148</v>
      </c>
      <c r="F25" s="9"/>
      <c r="G25" s="9"/>
      <c r="H25" s="9"/>
    </row>
    <row r="26" spans="2:8" x14ac:dyDescent="0.3">
      <c r="B26" s="32"/>
      <c r="C26" s="22"/>
      <c r="D26" s="10"/>
      <c r="F26" s="9"/>
      <c r="G26" s="9"/>
      <c r="H26" s="9"/>
    </row>
    <row r="27" spans="2:8" x14ac:dyDescent="0.3">
      <c r="B27" s="32"/>
      <c r="C27" s="22"/>
      <c r="D27" s="10"/>
      <c r="F27" s="9"/>
      <c r="G27" s="9"/>
      <c r="H27" s="9"/>
    </row>
    <row r="28" spans="2:8" x14ac:dyDescent="0.3">
      <c r="B28" s="32"/>
      <c r="C28" s="22"/>
      <c r="D28" s="10"/>
      <c r="F28" s="9"/>
      <c r="G28" s="9"/>
      <c r="H28" s="9"/>
    </row>
    <row r="29" spans="2:8" x14ac:dyDescent="0.3">
      <c r="B29" s="32"/>
      <c r="C29"/>
      <c r="D29" s="10"/>
      <c r="E29" s="9"/>
      <c r="F29" s="9"/>
      <c r="G29" s="9"/>
      <c r="H29" s="9"/>
    </row>
    <row r="30" spans="2:8" ht="18" x14ac:dyDescent="0.3">
      <c r="B30" s="32"/>
      <c r="C30" s="20"/>
      <c r="D30" s="10"/>
      <c r="E30" s="9"/>
      <c r="F30" s="9"/>
      <c r="G30" s="9"/>
      <c r="H30" s="9"/>
    </row>
    <row r="31" spans="2:8" x14ac:dyDescent="0.3">
      <c r="B31" s="32"/>
      <c r="C31" s="22"/>
      <c r="D31" s="10"/>
      <c r="E31" s="9"/>
      <c r="F31" s="9"/>
      <c r="G31" s="9"/>
      <c r="H31" s="9"/>
    </row>
    <row r="32" spans="2:8" x14ac:dyDescent="0.3">
      <c r="B32" s="32"/>
      <c r="C32" s="22"/>
      <c r="D32" s="10"/>
      <c r="E32" s="9"/>
      <c r="F32" s="9"/>
      <c r="G32" s="9"/>
      <c r="H32" s="9"/>
    </row>
    <row r="33" spans="2:8" x14ac:dyDescent="0.3">
      <c r="B33" s="9"/>
      <c r="C33" s="22"/>
      <c r="D33" s="10"/>
      <c r="E33" s="9"/>
      <c r="F33" s="9"/>
      <c r="G33" s="9"/>
      <c r="H33" s="9"/>
    </row>
    <row r="34" spans="2:8" x14ac:dyDescent="0.3">
      <c r="B34" s="9"/>
      <c r="C34" s="22"/>
      <c r="D34" s="10"/>
      <c r="E34" s="9"/>
      <c r="F34" s="9"/>
      <c r="G34" s="9"/>
      <c r="H34" s="9"/>
    </row>
    <row r="35" spans="2:8" x14ac:dyDescent="0.3">
      <c r="B35" s="9"/>
      <c r="C35" s="22"/>
      <c r="D35" s="10"/>
      <c r="E35" s="9"/>
      <c r="F35" s="9"/>
      <c r="G35" s="9"/>
      <c r="H35" s="9"/>
    </row>
    <row r="36" spans="2:8" x14ac:dyDescent="0.3">
      <c r="B36" s="9"/>
      <c r="C36" s="9"/>
      <c r="D36" s="10"/>
      <c r="E36" s="9"/>
      <c r="F36" s="9"/>
      <c r="G36" s="9"/>
      <c r="H36" s="9"/>
    </row>
    <row r="37" spans="2:8" x14ac:dyDescent="0.3">
      <c r="B37" s="9"/>
      <c r="C37" s="9"/>
      <c r="D37" s="10"/>
      <c r="E37" s="9"/>
      <c r="F37" s="9"/>
      <c r="G37" s="9"/>
      <c r="H37" s="9"/>
    </row>
    <row r="38" spans="2:8" x14ac:dyDescent="0.3">
      <c r="B38" s="9"/>
      <c r="C38" s="9"/>
      <c r="D38" s="10"/>
      <c r="E38" s="9"/>
      <c r="F38" s="9"/>
      <c r="G38" s="9"/>
      <c r="H38" s="9"/>
    </row>
    <row r="39" spans="2:8" x14ac:dyDescent="0.3">
      <c r="B39" s="9"/>
      <c r="C39" s="9"/>
      <c r="D39" s="10"/>
      <c r="E39" s="9"/>
      <c r="F39" s="9"/>
      <c r="G39" s="9"/>
      <c r="H39" s="9"/>
    </row>
    <row r="40" spans="2:8" x14ac:dyDescent="0.3">
      <c r="B40" s="9"/>
      <c r="C40" s="9"/>
      <c r="D40" s="10"/>
      <c r="E40" s="9"/>
      <c r="F40" s="9"/>
      <c r="G40" s="9"/>
      <c r="H40" s="9"/>
    </row>
    <row r="41" spans="2:8" x14ac:dyDescent="0.3">
      <c r="B41" s="9"/>
      <c r="C41" s="9"/>
      <c r="D41" s="10"/>
      <c r="E41" s="9"/>
      <c r="F41" s="9"/>
      <c r="G41" s="9"/>
      <c r="H41" s="9"/>
    </row>
    <row r="42" spans="2:8" x14ac:dyDescent="0.3">
      <c r="B42" s="9"/>
      <c r="C42" s="9"/>
      <c r="D42" s="10"/>
      <c r="E42" s="9"/>
      <c r="F42" s="9"/>
      <c r="G42" s="9"/>
      <c r="H42" s="9"/>
    </row>
    <row r="43" spans="2:8" x14ac:dyDescent="0.3">
      <c r="B43" s="9"/>
      <c r="C43" s="9"/>
      <c r="D43" s="10"/>
      <c r="E43" s="9"/>
      <c r="F43" s="9"/>
      <c r="G43" s="9"/>
      <c r="H43" s="9"/>
    </row>
    <row r="44" spans="2:8" x14ac:dyDescent="0.3">
      <c r="B44" s="9"/>
      <c r="C44" s="9"/>
      <c r="D44" s="10"/>
      <c r="E44" s="9"/>
      <c r="F44" s="9"/>
      <c r="G44" s="9"/>
      <c r="H44" s="9"/>
    </row>
    <row r="45" spans="2:8" x14ac:dyDescent="0.3">
      <c r="B45" s="9"/>
      <c r="C45" s="9"/>
      <c r="D45" s="10"/>
      <c r="E45" s="9"/>
      <c r="F45" s="9"/>
      <c r="G45" s="9"/>
      <c r="H45" s="9"/>
    </row>
    <row r="46" spans="2:8" x14ac:dyDescent="0.3">
      <c r="B46" s="9"/>
      <c r="C46" s="9"/>
      <c r="D46" s="10"/>
      <c r="E46" s="9"/>
      <c r="F46" s="9"/>
      <c r="G46" s="9"/>
      <c r="H46" s="9"/>
    </row>
    <row r="47" spans="2:8" x14ac:dyDescent="0.3">
      <c r="B47" s="9"/>
      <c r="C47" s="9"/>
      <c r="D47" s="10"/>
      <c r="E47" s="9"/>
      <c r="F47" s="9"/>
      <c r="G47" s="9"/>
      <c r="H47" s="9"/>
    </row>
    <row r="48" spans="2:8" x14ac:dyDescent="0.3">
      <c r="B48" s="9"/>
      <c r="C48" s="9"/>
      <c r="D48" s="10"/>
      <c r="E48" s="9"/>
      <c r="F48" s="9"/>
      <c r="G48" s="9"/>
      <c r="H48" s="9"/>
    </row>
    <row r="49" spans="2:8" x14ac:dyDescent="0.3">
      <c r="B49" s="9"/>
      <c r="C49" s="9"/>
      <c r="D49" s="10"/>
      <c r="E49" s="9"/>
      <c r="F49" s="9"/>
      <c r="G49" s="9"/>
      <c r="H49" s="9"/>
    </row>
    <row r="50" spans="2:8" x14ac:dyDescent="0.3">
      <c r="B50" s="9"/>
      <c r="C50" s="9"/>
      <c r="D50" s="10"/>
      <c r="E50" s="9"/>
      <c r="F50" s="9"/>
      <c r="G50" s="9"/>
      <c r="H50" s="9"/>
    </row>
    <row r="51" spans="2:8" x14ac:dyDescent="0.3">
      <c r="B51" s="9"/>
      <c r="C51" s="9"/>
      <c r="D51" s="10"/>
      <c r="E51" s="9"/>
      <c r="F51" s="9"/>
      <c r="G51" s="9"/>
      <c r="H51" s="9"/>
    </row>
    <row r="52" spans="2:8" x14ac:dyDescent="0.3">
      <c r="B52" s="9"/>
      <c r="C52" s="9"/>
      <c r="D52" s="10"/>
      <c r="E52" s="9"/>
      <c r="F52" s="9"/>
      <c r="G52" s="9"/>
      <c r="H52" s="9"/>
    </row>
    <row r="53" spans="2:8" x14ac:dyDescent="0.3">
      <c r="B53" s="9"/>
      <c r="C53" s="9"/>
      <c r="D53" s="10"/>
      <c r="E53" s="9"/>
      <c r="F53" s="9"/>
      <c r="G53" s="9"/>
      <c r="H53" s="9"/>
    </row>
    <row r="54" spans="2:8" x14ac:dyDescent="0.3">
      <c r="B54" s="9"/>
      <c r="C54" s="9"/>
      <c r="D54" s="10"/>
      <c r="E54" s="9"/>
      <c r="F54" s="9"/>
      <c r="G54" s="9"/>
      <c r="H54" s="9"/>
    </row>
    <row r="55" spans="2:8" x14ac:dyDescent="0.3">
      <c r="B55" s="9"/>
      <c r="C55" s="9"/>
      <c r="D55" s="10"/>
      <c r="E55" s="9"/>
      <c r="F55" s="9"/>
      <c r="G55" s="9"/>
      <c r="H55" s="9"/>
    </row>
    <row r="56" spans="2:8" x14ac:dyDescent="0.3">
      <c r="B56" s="9"/>
      <c r="C56" s="9"/>
      <c r="D56" s="10"/>
      <c r="E56" s="9"/>
      <c r="F56" s="9"/>
      <c r="G56" s="9"/>
      <c r="H56" s="9"/>
    </row>
    <row r="57" spans="2:8" x14ac:dyDescent="0.3">
      <c r="B57" s="9"/>
      <c r="C57" s="9"/>
      <c r="D57" s="10"/>
      <c r="E57" s="9"/>
      <c r="F57" s="9"/>
      <c r="G57" s="9"/>
      <c r="H57" s="9"/>
    </row>
    <row r="58" spans="2:8" x14ac:dyDescent="0.3">
      <c r="B58" s="9"/>
      <c r="C58" s="9"/>
      <c r="D58" s="10"/>
      <c r="E58" s="9"/>
      <c r="F58" s="9"/>
      <c r="G58" s="9"/>
      <c r="H58" s="9"/>
    </row>
    <row r="59" spans="2:8" x14ac:dyDescent="0.3">
      <c r="B59" s="9"/>
      <c r="C59" s="9"/>
      <c r="D59" s="10"/>
      <c r="E59" s="9"/>
      <c r="F59" s="9"/>
      <c r="G59" s="9"/>
      <c r="H59" s="9"/>
    </row>
    <row r="60" spans="2:8" x14ac:dyDescent="0.3">
      <c r="B60" s="9"/>
      <c r="C60" s="9"/>
      <c r="D60" s="10"/>
      <c r="E60" s="9"/>
      <c r="F60" s="9"/>
      <c r="G60" s="9"/>
      <c r="H60" s="9"/>
    </row>
    <row r="61" spans="2:8" x14ac:dyDescent="0.3">
      <c r="B61" s="9"/>
      <c r="C61" s="9"/>
      <c r="D61" s="10"/>
      <c r="E61" s="9"/>
      <c r="F61" s="9"/>
      <c r="G61" s="9"/>
      <c r="H61" s="9"/>
    </row>
    <row r="62" spans="2:8" x14ac:dyDescent="0.3">
      <c r="B62" s="9"/>
      <c r="C62" s="9"/>
      <c r="D62" s="10"/>
      <c r="E62" s="9"/>
      <c r="F62" s="9"/>
      <c r="G62" s="9"/>
      <c r="H62" s="9"/>
    </row>
    <row r="63" spans="2:8" x14ac:dyDescent="0.3">
      <c r="B63" s="9"/>
      <c r="C63" s="9"/>
      <c r="D63" s="10"/>
      <c r="E63" s="9"/>
      <c r="F63" s="9"/>
      <c r="G63" s="9"/>
      <c r="H63" s="9"/>
    </row>
    <row r="64" spans="2:8" x14ac:dyDescent="0.3">
      <c r="B64" s="9"/>
      <c r="C64" s="9"/>
      <c r="D64" s="10"/>
      <c r="E64" s="9"/>
      <c r="F64" s="9"/>
      <c r="G64" s="9"/>
      <c r="H64" s="9"/>
    </row>
    <row r="65" spans="2:8" x14ac:dyDescent="0.3">
      <c r="B65" s="9"/>
      <c r="C65" s="9"/>
      <c r="D65" s="10"/>
      <c r="E65" s="9"/>
      <c r="F65" s="9"/>
      <c r="G65" s="9"/>
      <c r="H65" s="9"/>
    </row>
    <row r="66" spans="2:8" x14ac:dyDescent="0.3">
      <c r="B66" s="9"/>
      <c r="C66" s="9"/>
      <c r="D66" s="10"/>
      <c r="E66" s="9"/>
      <c r="F66" s="9"/>
      <c r="G66" s="9"/>
      <c r="H66" s="9"/>
    </row>
    <row r="67" spans="2:8" x14ac:dyDescent="0.3">
      <c r="B67" s="9"/>
      <c r="C67" s="9"/>
      <c r="D67" s="10"/>
      <c r="E67" s="9"/>
      <c r="F67" s="9"/>
      <c r="G67" s="9"/>
      <c r="H67" s="9"/>
    </row>
    <row r="68" spans="2:8" x14ac:dyDescent="0.3">
      <c r="B68" s="9"/>
      <c r="C68" s="9"/>
      <c r="D68" s="10"/>
      <c r="E68" s="9"/>
      <c r="F68" s="9"/>
      <c r="G68" s="9"/>
      <c r="H68" s="9"/>
    </row>
    <row r="69" spans="2:8" x14ac:dyDescent="0.3">
      <c r="B69" s="9"/>
      <c r="C69" s="9"/>
      <c r="D69" s="10"/>
      <c r="E69" s="9"/>
      <c r="F69" s="9"/>
      <c r="G69" s="9"/>
      <c r="H69" s="9"/>
    </row>
    <row r="70" spans="2:8" x14ac:dyDescent="0.3">
      <c r="B70" s="9"/>
      <c r="C70" s="9"/>
      <c r="D70" s="10"/>
      <c r="E70" s="9"/>
      <c r="F70" s="9"/>
      <c r="G70" s="9"/>
      <c r="H70" s="9"/>
    </row>
    <row r="71" spans="2:8" x14ac:dyDescent="0.3">
      <c r="B71" s="9"/>
      <c r="C71" s="9"/>
      <c r="D71" s="10"/>
      <c r="E71" s="9"/>
      <c r="F71" s="9"/>
      <c r="G71" s="9"/>
      <c r="H71" s="9"/>
    </row>
    <row r="72" spans="2:8" x14ac:dyDescent="0.3">
      <c r="B72" s="9"/>
      <c r="C72" s="9"/>
      <c r="D72" s="10"/>
      <c r="E72" s="9"/>
      <c r="F72" s="9"/>
      <c r="G72" s="9"/>
      <c r="H72" s="9"/>
    </row>
    <row r="73" spans="2:8" x14ac:dyDescent="0.3">
      <c r="B73" s="9"/>
      <c r="C73" s="9"/>
      <c r="D73" s="10"/>
      <c r="E73" s="9"/>
      <c r="F73" s="9"/>
      <c r="G73" s="9"/>
      <c r="H73" s="9"/>
    </row>
    <row r="74" spans="2:8" x14ac:dyDescent="0.3">
      <c r="B74" s="9"/>
      <c r="C74" s="9"/>
      <c r="D74" s="10"/>
      <c r="E74" s="9"/>
      <c r="F74" s="9"/>
      <c r="G74" s="9"/>
      <c r="H74" s="9"/>
    </row>
    <row r="75" spans="2:8" x14ac:dyDescent="0.3">
      <c r="B75" s="9"/>
      <c r="C75" s="9"/>
      <c r="D75" s="10"/>
      <c r="E75" s="9"/>
      <c r="F75" s="9"/>
      <c r="G75" s="9"/>
      <c r="H75" s="9"/>
    </row>
    <row r="76" spans="2:8" x14ac:dyDescent="0.3">
      <c r="B76" s="9"/>
      <c r="C76" s="9"/>
      <c r="D76" s="10"/>
      <c r="E76" s="9"/>
      <c r="F76" s="9"/>
      <c r="G76" s="9"/>
      <c r="H76" s="9"/>
    </row>
    <row r="77" spans="2:8" x14ac:dyDescent="0.3">
      <c r="B77" s="9"/>
      <c r="C77" s="9"/>
      <c r="D77" s="10"/>
      <c r="E77" s="9"/>
      <c r="F77" s="9"/>
      <c r="G77" s="9"/>
      <c r="H77" s="9"/>
    </row>
    <row r="78" spans="2:8" x14ac:dyDescent="0.3">
      <c r="B78" s="9"/>
      <c r="C78" s="9"/>
      <c r="D78" s="10"/>
      <c r="E78" s="9"/>
      <c r="F78" s="9"/>
      <c r="G78" s="9"/>
      <c r="H7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72E8-EDB3-4C4A-9989-74256BB563A7}">
  <dimension ref="A1:W71"/>
  <sheetViews>
    <sheetView tabSelected="1" topLeftCell="G1" zoomScale="80" zoomScaleNormal="80" workbookViewId="0">
      <selection activeCell="T28" sqref="T28"/>
    </sheetView>
  </sheetViews>
  <sheetFormatPr defaultRowHeight="14.4" x14ac:dyDescent="0.3"/>
  <cols>
    <col min="1" max="1" width="7.109375" customWidth="1"/>
    <col min="2" max="2" width="10.6640625" customWidth="1"/>
    <col min="3" max="3" width="19.109375" bestFit="1" customWidth="1"/>
    <col min="4" max="4" width="13.5546875" customWidth="1"/>
    <col min="5" max="5" width="6.88671875" customWidth="1"/>
    <col min="6" max="6" width="6.6640625" customWidth="1"/>
    <col min="7" max="7" width="11.88671875" customWidth="1"/>
    <col min="8" max="8" width="14.44140625" customWidth="1"/>
    <col min="9" max="9" width="5.5546875" customWidth="1"/>
    <col min="10" max="12" width="12.6640625" customWidth="1"/>
    <col min="13" max="13" width="10.44140625" customWidth="1"/>
    <col min="14" max="14" width="47.6640625" bestFit="1" customWidth="1"/>
    <col min="15" max="15" width="15.33203125" bestFit="1" customWidth="1"/>
    <col min="16" max="16" width="19.109375" customWidth="1"/>
    <col min="17" max="17" width="1.88671875" customWidth="1"/>
    <col min="18" max="18" width="12.44140625" bestFit="1" customWidth="1"/>
    <col min="19" max="19" width="19" bestFit="1" customWidth="1"/>
    <col min="20" max="20" width="11.77734375" bestFit="1" customWidth="1"/>
    <col min="21" max="21" width="13" customWidth="1"/>
    <col min="22" max="22" width="18.109375" customWidth="1"/>
    <col min="23" max="23" width="14.21875" customWidth="1"/>
    <col min="24" max="24" width="11.6640625" bestFit="1" customWidth="1"/>
    <col min="25" max="25" width="12.33203125" bestFit="1" customWidth="1"/>
    <col min="26" max="26" width="11.21875" bestFit="1" customWidth="1"/>
    <col min="27" max="27" width="13.44140625" bestFit="1" customWidth="1"/>
    <col min="28" max="28" width="14.44140625" bestFit="1" customWidth="1"/>
    <col min="29" max="29" width="11.77734375" bestFit="1" customWidth="1"/>
    <col min="30" max="30" width="11.109375" bestFit="1" customWidth="1"/>
    <col min="31" max="31" width="10.5546875" bestFit="1" customWidth="1"/>
    <col min="32" max="32" width="12.5546875" bestFit="1" customWidth="1"/>
    <col min="33" max="33" width="14.33203125" bestFit="1" customWidth="1"/>
    <col min="34" max="34" width="13.21875" bestFit="1" customWidth="1"/>
    <col min="35" max="35" width="8.21875" bestFit="1" customWidth="1"/>
    <col min="36" max="36" width="12.33203125" bestFit="1" customWidth="1"/>
    <col min="37" max="37" width="16.88671875" bestFit="1" customWidth="1"/>
    <col min="38" max="38" width="15.109375" bestFit="1" customWidth="1"/>
    <col min="39" max="39" width="12.77734375" bestFit="1" customWidth="1"/>
    <col min="40" max="40" width="15.109375" bestFit="1" customWidth="1"/>
    <col min="41" max="41" width="14" bestFit="1" customWidth="1"/>
    <col min="42" max="42" width="14.6640625" bestFit="1" customWidth="1"/>
    <col min="43" max="43" width="12.33203125" bestFit="1" customWidth="1"/>
    <col min="44" max="44" width="13.109375" bestFit="1" customWidth="1"/>
    <col min="45" max="45" width="10" bestFit="1" customWidth="1"/>
    <col min="46" max="46" width="14.5546875" bestFit="1" customWidth="1"/>
    <col min="47" max="47" width="11" bestFit="1" customWidth="1"/>
    <col min="48" max="48" width="9.6640625" bestFit="1" customWidth="1"/>
    <col min="49" max="49" width="14.109375" bestFit="1" customWidth="1"/>
    <col min="50" max="50" width="17.6640625" bestFit="1" customWidth="1"/>
    <col min="51" max="51" width="15.109375" bestFit="1" customWidth="1"/>
    <col min="52" max="52" width="13.5546875" bestFit="1" customWidth="1"/>
    <col min="53" max="53" width="14.21875" bestFit="1" customWidth="1"/>
    <col min="54" max="54" width="12.5546875" bestFit="1" customWidth="1"/>
    <col min="55" max="55" width="12.44140625" bestFit="1" customWidth="1"/>
    <col min="56" max="56" width="13.5546875" bestFit="1" customWidth="1"/>
    <col min="57" max="57" width="14.5546875" bestFit="1" customWidth="1"/>
    <col min="58" max="58" width="15.21875" bestFit="1" customWidth="1"/>
    <col min="59" max="59" width="12.88671875" bestFit="1" customWidth="1"/>
    <col min="60" max="60" width="12.44140625" bestFit="1" customWidth="1"/>
    <col min="61" max="61" width="14" bestFit="1" customWidth="1"/>
    <col min="62" max="62" width="11.6640625" bestFit="1" customWidth="1"/>
    <col min="63" max="63" width="13.88671875" bestFit="1" customWidth="1"/>
    <col min="64" max="64" width="12.6640625" bestFit="1" customWidth="1"/>
    <col min="65" max="65" width="11.109375" bestFit="1" customWidth="1"/>
    <col min="66" max="66" width="17" bestFit="1" customWidth="1"/>
    <col min="67" max="67" width="10.5546875" bestFit="1" customWidth="1"/>
    <col min="68" max="68" width="18.5546875" bestFit="1" customWidth="1"/>
    <col min="69" max="69" width="5" bestFit="1" customWidth="1"/>
    <col min="70" max="70" width="21.5546875" bestFit="1" customWidth="1"/>
    <col min="71" max="71" width="16.77734375" bestFit="1" customWidth="1"/>
    <col min="72" max="72" width="19.6640625" bestFit="1" customWidth="1"/>
    <col min="73" max="73" width="14.44140625" bestFit="1" customWidth="1"/>
    <col min="74" max="74" width="17.44140625" bestFit="1" customWidth="1"/>
    <col min="75" max="75" width="16.77734375" bestFit="1" customWidth="1"/>
    <col min="76" max="76" width="19.6640625" bestFit="1" customWidth="1"/>
    <col min="77" max="77" width="15.6640625" bestFit="1" customWidth="1"/>
    <col min="78" max="78" width="18.5546875" bestFit="1" customWidth="1"/>
    <col min="79" max="79" width="16.33203125" bestFit="1" customWidth="1"/>
    <col min="80" max="80" width="5" bestFit="1" customWidth="1"/>
    <col min="81" max="81" width="19.21875" bestFit="1" customWidth="1"/>
    <col min="82" max="82" width="14" bestFit="1" customWidth="1"/>
    <col min="83" max="83" width="16.88671875" bestFit="1" customWidth="1"/>
    <col min="84" max="84" width="14.77734375" bestFit="1" customWidth="1"/>
    <col min="85" max="85" width="5" bestFit="1" customWidth="1"/>
    <col min="86" max="86" width="17.6640625" bestFit="1" customWidth="1"/>
    <col min="87" max="87" width="11.6640625" bestFit="1" customWidth="1"/>
    <col min="88" max="88" width="14.5546875" bestFit="1" customWidth="1"/>
    <col min="89" max="89" width="16.21875" bestFit="1" customWidth="1"/>
    <col min="90" max="90" width="19.109375" bestFit="1" customWidth="1"/>
    <col min="91" max="91" width="12.6640625" bestFit="1" customWidth="1"/>
    <col min="92" max="92" width="15.5546875" bestFit="1" customWidth="1"/>
    <col min="93" max="93" width="11.33203125" bestFit="1" customWidth="1"/>
    <col min="94" max="94" width="14.21875" bestFit="1" customWidth="1"/>
    <col min="95" max="95" width="15.77734375" bestFit="1" customWidth="1"/>
    <col min="96" max="96" width="5" bestFit="1" customWidth="1"/>
    <col min="97" max="97" width="18.6640625" bestFit="1" customWidth="1"/>
    <col min="98" max="98" width="19.33203125" bestFit="1" customWidth="1"/>
    <col min="99" max="99" width="22.21875" bestFit="1" customWidth="1"/>
    <col min="100" max="100" width="16.77734375" bestFit="1" customWidth="1"/>
    <col min="101" max="101" width="19.6640625" bestFit="1" customWidth="1"/>
    <col min="102" max="102" width="15.21875" bestFit="1" customWidth="1"/>
    <col min="103" max="103" width="5" bestFit="1" customWidth="1"/>
    <col min="104" max="104" width="18.109375" bestFit="1" customWidth="1"/>
    <col min="105" max="105" width="15.88671875" bestFit="1" customWidth="1"/>
    <col min="106" max="106" width="18.77734375" bestFit="1" customWidth="1"/>
    <col min="107" max="107" width="14.21875" bestFit="1" customWidth="1"/>
    <col min="108" max="108" width="17.21875" bestFit="1" customWidth="1"/>
    <col min="109" max="109" width="14.109375" bestFit="1" customWidth="1"/>
    <col min="110" max="110" width="17" bestFit="1" customWidth="1"/>
    <col min="111" max="111" width="15.21875" bestFit="1" customWidth="1"/>
    <col min="112" max="112" width="18.109375" bestFit="1" customWidth="1"/>
    <col min="113" max="113" width="16.21875" bestFit="1" customWidth="1"/>
    <col min="114" max="114" width="5" bestFit="1" customWidth="1"/>
    <col min="115" max="115" width="19.109375" bestFit="1" customWidth="1"/>
    <col min="116" max="116" width="16.88671875" bestFit="1" customWidth="1"/>
    <col min="117" max="117" width="5" bestFit="1" customWidth="1"/>
    <col min="118" max="118" width="19.77734375" bestFit="1" customWidth="1"/>
    <col min="119" max="119" width="14.5546875" bestFit="1" customWidth="1"/>
    <col min="120" max="120" width="17.5546875" bestFit="1" customWidth="1"/>
    <col min="121" max="121" width="14.109375" bestFit="1" customWidth="1"/>
    <col min="122" max="122" width="17" bestFit="1" customWidth="1"/>
    <col min="123" max="123" width="15.6640625" bestFit="1" customWidth="1"/>
    <col min="124" max="124" width="18.5546875" bestFit="1" customWidth="1"/>
    <col min="125" max="125" width="13.33203125" bestFit="1" customWidth="1"/>
    <col min="126" max="126" width="16.21875" bestFit="1" customWidth="1"/>
    <col min="127" max="127" width="15.5546875" bestFit="1" customWidth="1"/>
    <col min="128" max="128" width="5" bestFit="1" customWidth="1"/>
    <col min="129" max="129" width="18.44140625" bestFit="1" customWidth="1"/>
    <col min="130" max="130" width="14.33203125" bestFit="1" customWidth="1"/>
    <col min="131" max="131" width="5" bestFit="1" customWidth="1"/>
    <col min="132" max="132" width="17.33203125" bestFit="1" customWidth="1"/>
    <col min="133" max="133" width="12.77734375" bestFit="1" customWidth="1"/>
    <col min="134" max="134" width="15.6640625" bestFit="1" customWidth="1"/>
    <col min="135" max="135" width="18.6640625" bestFit="1" customWidth="1"/>
    <col min="136" max="136" width="21.6640625" bestFit="1" customWidth="1"/>
    <col min="137" max="137" width="10.5546875" bestFit="1" customWidth="1"/>
    <col min="138" max="138" width="12.33203125" bestFit="1" customWidth="1"/>
    <col min="139" max="139" width="9.44140625" bestFit="1" customWidth="1"/>
    <col min="140" max="140" width="15.21875" bestFit="1" customWidth="1"/>
    <col min="141" max="141" width="9.44140625" bestFit="1" customWidth="1"/>
    <col min="142" max="142" width="13.109375" bestFit="1" customWidth="1"/>
    <col min="143" max="143" width="9.44140625" bestFit="1" customWidth="1"/>
    <col min="144" max="144" width="14.44140625" bestFit="1" customWidth="1"/>
    <col min="145" max="145" width="9.44140625" bestFit="1" customWidth="1"/>
    <col min="146" max="146" width="13.88671875" bestFit="1" customWidth="1"/>
    <col min="147" max="147" width="9.44140625" bestFit="1" customWidth="1"/>
    <col min="148" max="148" width="13.5546875" bestFit="1" customWidth="1"/>
    <col min="149" max="149" width="9.44140625" bestFit="1" customWidth="1"/>
    <col min="150" max="150" width="12.5546875" bestFit="1" customWidth="1"/>
    <col min="151" max="151" width="9.44140625" bestFit="1" customWidth="1"/>
    <col min="152" max="152" width="11.77734375" bestFit="1" customWidth="1"/>
    <col min="153" max="153" width="9.44140625" bestFit="1" customWidth="1"/>
    <col min="154" max="154" width="16.88671875" bestFit="1" customWidth="1"/>
    <col min="155" max="155" width="9.44140625" bestFit="1" customWidth="1"/>
    <col min="156" max="156" width="10.5546875" bestFit="1" customWidth="1"/>
  </cols>
  <sheetData>
    <row r="1" spans="1:23" ht="15.6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  <c r="I1" s="2" t="s">
        <v>129</v>
      </c>
      <c r="J1" s="2" t="s">
        <v>183</v>
      </c>
      <c r="K1" s="2" t="s">
        <v>191</v>
      </c>
      <c r="L1" s="30"/>
    </row>
    <row r="2" spans="1:23" ht="18" x14ac:dyDescent="0.3">
      <c r="A2" s="12" t="s">
        <v>8</v>
      </c>
      <c r="B2" s="4">
        <v>45292</v>
      </c>
      <c r="C2" s="3" t="s">
        <v>9</v>
      </c>
      <c r="D2" s="4">
        <v>45294</v>
      </c>
      <c r="E2" s="19">
        <v>49.99</v>
      </c>
      <c r="F2" s="3">
        <v>2</v>
      </c>
      <c r="G2" s="3">
        <f>E2*F2*$I$6</f>
        <v>499.90000000000003</v>
      </c>
      <c r="H2" s="14">
        <f>E2*F2+G2</f>
        <v>599.88</v>
      </c>
      <c r="I2" s="19">
        <f>Table1[[#This Row],[Ship Date]]-Table1[[#This Row],[Order Date]]</f>
        <v>2</v>
      </c>
      <c r="J2" s="19" t="str">
        <f>IF(COUNTIF(Table1[Customer Name],Table1[[#This Row],[Customer Name]])&gt;1,"Repeat","New")</f>
        <v>New</v>
      </c>
      <c r="K2" s="19">
        <f>MONTH(Table1[[#This Row],[Order Date]])</f>
        <v>1</v>
      </c>
      <c r="L2" s="30"/>
      <c r="N2" s="33" t="s">
        <v>158</v>
      </c>
      <c r="O2" s="29"/>
      <c r="P2" s="28"/>
      <c r="R2" s="33" t="s">
        <v>169</v>
      </c>
      <c r="S2" s="33"/>
    </row>
    <row r="3" spans="1:23" x14ac:dyDescent="0.3">
      <c r="A3" s="12" t="s">
        <v>10</v>
      </c>
      <c r="B3" s="4">
        <v>45292</v>
      </c>
      <c r="C3" s="3" t="s">
        <v>11</v>
      </c>
      <c r="D3" s="4">
        <v>45295</v>
      </c>
      <c r="E3" s="3">
        <v>29.99</v>
      </c>
      <c r="F3" s="3">
        <v>1</v>
      </c>
      <c r="G3" s="3">
        <f t="shared" ref="G3:G66" si="0">E3*F3*$I$6</f>
        <v>149.94999999999999</v>
      </c>
      <c r="H3" s="14">
        <f t="shared" ref="H3:H66" si="1">E3*F3+G3</f>
        <v>179.94</v>
      </c>
      <c r="I3" s="3">
        <f>Table1[[#This Row],[Ship Date]]-Table1[[#This Row],[Order Date]]</f>
        <v>3</v>
      </c>
      <c r="J3" s="19" t="str">
        <f>IF(COUNTIF(Table1[Customer Name],Table1[[#This Row],[Customer Name]])&gt;1,"Repeat","New")</f>
        <v>New</v>
      </c>
      <c r="K3" s="3">
        <f>MONTH(Table1[[#This Row],[Order Date]])</f>
        <v>1</v>
      </c>
      <c r="L3" s="30"/>
      <c r="N3" s="29"/>
      <c r="O3" s="29"/>
      <c r="R3" s="22"/>
      <c r="U3" s="25" t="s">
        <v>181</v>
      </c>
      <c r="V3" s="25" t="s">
        <v>182</v>
      </c>
    </row>
    <row r="4" spans="1:23" x14ac:dyDescent="0.3">
      <c r="A4" s="12" t="s">
        <v>12</v>
      </c>
      <c r="B4" s="4">
        <v>45293</v>
      </c>
      <c r="C4" s="3" t="s">
        <v>13</v>
      </c>
      <c r="D4" s="4">
        <v>45298</v>
      </c>
      <c r="E4" s="3">
        <v>99.99</v>
      </c>
      <c r="F4" s="3">
        <v>3</v>
      </c>
      <c r="G4" s="3">
        <f t="shared" si="0"/>
        <v>1499.85</v>
      </c>
      <c r="H4" s="14">
        <f t="shared" si="1"/>
        <v>1799.82</v>
      </c>
      <c r="I4" s="3">
        <f>Table1[[#This Row],[Ship Date]]-Table1[[#This Row],[Order Date]]</f>
        <v>5</v>
      </c>
      <c r="J4" s="19" t="str">
        <f>IF(COUNTIF(Table1[Customer Name],Table1[[#This Row],[Customer Name]])&gt;1,"Repeat","New")</f>
        <v>Repeat</v>
      </c>
      <c r="K4" s="3">
        <f>MONTH(Table1[[#This Row],[Order Date]])</f>
        <v>1</v>
      </c>
      <c r="L4" s="30"/>
      <c r="N4" s="31" t="s">
        <v>159</v>
      </c>
      <c r="O4" s="34">
        <f>SUM(Table1[Tax (USD)])</f>
        <v>49341.599999999991</v>
      </c>
      <c r="R4" s="31" t="s">
        <v>170</v>
      </c>
      <c r="S4" s="31"/>
      <c r="T4" s="31"/>
      <c r="U4" s="25" t="s">
        <v>192</v>
      </c>
      <c r="V4" s="38">
        <v>52371.119999999995</v>
      </c>
    </row>
    <row r="5" spans="1:23" x14ac:dyDescent="0.3">
      <c r="A5" s="12" t="s">
        <v>14</v>
      </c>
      <c r="B5" s="4">
        <v>45293</v>
      </c>
      <c r="C5" s="3" t="s">
        <v>15</v>
      </c>
      <c r="D5" s="4">
        <v>45294</v>
      </c>
      <c r="E5" s="3">
        <v>19.989999999999998</v>
      </c>
      <c r="F5" s="3">
        <v>4</v>
      </c>
      <c r="G5" s="3">
        <f t="shared" si="0"/>
        <v>399.79999999999995</v>
      </c>
      <c r="H5" s="14">
        <f t="shared" si="1"/>
        <v>479.75999999999993</v>
      </c>
      <c r="I5" s="3">
        <f>Table1[[#This Row],[Ship Date]]-Table1[[#This Row],[Order Date]]</f>
        <v>1</v>
      </c>
      <c r="J5" s="19" t="str">
        <f>IF(COUNTIF(Table1[Customer Name],Table1[[#This Row],[Customer Name]])&gt;1,"Repeat","New")</f>
        <v>Repeat</v>
      </c>
      <c r="K5" s="3">
        <f>MONTH(Table1[[#This Row],[Order Date]])</f>
        <v>1</v>
      </c>
      <c r="L5" s="30"/>
      <c r="N5" s="31" t="s">
        <v>160</v>
      </c>
      <c r="O5" s="35">
        <f>SUM(Table1[Order Quantity])</f>
        <v>168</v>
      </c>
      <c r="R5" s="31" t="s">
        <v>171</v>
      </c>
      <c r="S5" s="31"/>
      <c r="T5" s="31"/>
      <c r="U5" s="25" t="s">
        <v>193</v>
      </c>
      <c r="V5" s="38">
        <v>6838.8000000000011</v>
      </c>
    </row>
    <row r="6" spans="1:23" x14ac:dyDescent="0.3">
      <c r="A6" s="12" t="s">
        <v>16</v>
      </c>
      <c r="B6" s="4">
        <v>45294</v>
      </c>
      <c r="C6" s="3" t="s">
        <v>17</v>
      </c>
      <c r="D6" s="4">
        <v>45299</v>
      </c>
      <c r="E6" s="3">
        <v>149.99</v>
      </c>
      <c r="F6" s="3">
        <v>1</v>
      </c>
      <c r="G6" s="3">
        <f t="shared" si="0"/>
        <v>749.95</v>
      </c>
      <c r="H6" s="14">
        <f t="shared" si="1"/>
        <v>899.94</v>
      </c>
      <c r="I6" s="3">
        <f>Table1[[#This Row],[Ship Date]]-Table1[[#This Row],[Order Date]]</f>
        <v>5</v>
      </c>
      <c r="J6" s="19" t="str">
        <f>IF(COUNTIF(Table1[Customer Name],Table1[[#This Row],[Customer Name]])&gt;1,"Repeat","New")</f>
        <v>Repeat</v>
      </c>
      <c r="K6" s="3">
        <f>MONTH(Table1[[#This Row],[Order Date]])</f>
        <v>1</v>
      </c>
      <c r="L6" s="30"/>
      <c r="N6" s="31" t="s">
        <v>161</v>
      </c>
      <c r="O6" s="34">
        <f>O4/O9</f>
        <v>704.87999999999988</v>
      </c>
      <c r="U6" s="25" t="s">
        <v>180</v>
      </c>
      <c r="V6" s="38">
        <v>59209.919999999998</v>
      </c>
    </row>
    <row r="7" spans="1:23" x14ac:dyDescent="0.3">
      <c r="A7" s="12" t="s">
        <v>18</v>
      </c>
      <c r="B7" s="4">
        <v>45294</v>
      </c>
      <c r="C7" s="3" t="s">
        <v>19</v>
      </c>
      <c r="D7" s="4">
        <v>45297</v>
      </c>
      <c r="E7" s="3">
        <v>79.989999999999995</v>
      </c>
      <c r="F7" s="3">
        <v>2</v>
      </c>
      <c r="G7" s="3">
        <f t="shared" si="0"/>
        <v>799.9</v>
      </c>
      <c r="H7" s="14">
        <f t="shared" si="1"/>
        <v>959.88</v>
      </c>
      <c r="I7" s="3">
        <f>Table1[[#This Row],[Ship Date]]-Table1[[#This Row],[Order Date]]</f>
        <v>3</v>
      </c>
      <c r="J7" s="19" t="str">
        <f>IF(COUNTIF(Table1[Customer Name],Table1[[#This Row],[Customer Name]])&gt;1,"Repeat","New")</f>
        <v>New</v>
      </c>
      <c r="K7" s="3">
        <f>MONTH(Table1[[#This Row],[Order Date]])</f>
        <v>1</v>
      </c>
      <c r="L7" s="30"/>
      <c r="N7" s="31" t="s">
        <v>162</v>
      </c>
      <c r="O7" s="34">
        <f>MAX(Table1[Total (USD)])</f>
        <v>1799.82</v>
      </c>
    </row>
    <row r="8" spans="1:23" x14ac:dyDescent="0.3">
      <c r="A8" s="12" t="s">
        <v>20</v>
      </c>
      <c r="B8" s="4">
        <v>45295</v>
      </c>
      <c r="C8" s="3" t="s">
        <v>21</v>
      </c>
      <c r="D8" s="4">
        <v>45297</v>
      </c>
      <c r="E8" s="3">
        <v>39.99</v>
      </c>
      <c r="F8" s="3">
        <v>3</v>
      </c>
      <c r="G8" s="3">
        <f t="shared" si="0"/>
        <v>599.85</v>
      </c>
      <c r="H8" s="14">
        <f t="shared" si="1"/>
        <v>719.82</v>
      </c>
      <c r="I8" s="3">
        <f>Table1[[#This Row],[Ship Date]]-Table1[[#This Row],[Order Date]]</f>
        <v>2</v>
      </c>
      <c r="J8" s="19" t="str">
        <f>IF(COUNTIF(Table1[Customer Name],Table1[[#This Row],[Customer Name]])&gt;1,"Repeat","New")</f>
        <v>New</v>
      </c>
      <c r="K8" s="3">
        <f>MONTH(Table1[[#This Row],[Order Date]])</f>
        <v>1</v>
      </c>
      <c r="L8" s="30"/>
      <c r="N8" s="31" t="s">
        <v>163</v>
      </c>
      <c r="O8" s="34">
        <f>MIN(Table1[Total (USD)])</f>
        <v>179.94</v>
      </c>
      <c r="P8" s="28"/>
      <c r="R8" s="31" t="s">
        <v>172</v>
      </c>
      <c r="S8" s="31"/>
      <c r="T8" s="31"/>
      <c r="U8" s="25" t="s">
        <v>192</v>
      </c>
      <c r="V8" s="38">
        <v>52371.119999999995</v>
      </c>
    </row>
    <row r="9" spans="1:23" x14ac:dyDescent="0.3">
      <c r="A9" s="12" t="s">
        <v>22</v>
      </c>
      <c r="B9" s="4">
        <v>45295</v>
      </c>
      <c r="C9" s="3" t="s">
        <v>23</v>
      </c>
      <c r="D9" s="4">
        <v>45300</v>
      </c>
      <c r="E9" s="3">
        <v>69.989999999999995</v>
      </c>
      <c r="F9" s="3">
        <v>2</v>
      </c>
      <c r="G9" s="3">
        <f t="shared" si="0"/>
        <v>699.9</v>
      </c>
      <c r="H9" s="14">
        <f t="shared" si="1"/>
        <v>839.88</v>
      </c>
      <c r="I9" s="3">
        <f>Table1[[#This Row],[Ship Date]]-Table1[[#This Row],[Order Date]]</f>
        <v>5</v>
      </c>
      <c r="J9" s="19" t="str">
        <f>IF(COUNTIF(Table1[Customer Name],Table1[[#This Row],[Customer Name]])&gt;1,"Repeat","New")</f>
        <v>New</v>
      </c>
      <c r="K9" s="3">
        <f>MONTH(Table1[[#This Row],[Order Date]])</f>
        <v>1</v>
      </c>
      <c r="L9" s="30"/>
      <c r="N9" s="31" t="s">
        <v>179</v>
      </c>
      <c r="O9" s="35">
        <f>COUNT(Table1[Total (USD)])</f>
        <v>70</v>
      </c>
      <c r="P9" s="28"/>
      <c r="U9" s="25" t="s">
        <v>193</v>
      </c>
      <c r="V9" s="38">
        <v>6838.8000000000011</v>
      </c>
      <c r="W9" s="39">
        <f>(V9-V8)/V8</f>
        <v>-0.86941657921388726</v>
      </c>
    </row>
    <row r="10" spans="1:23" x14ac:dyDescent="0.3">
      <c r="A10" s="12" t="s">
        <v>24</v>
      </c>
      <c r="B10" s="4">
        <v>45296</v>
      </c>
      <c r="C10" s="3" t="s">
        <v>25</v>
      </c>
      <c r="D10" s="4">
        <v>45297</v>
      </c>
      <c r="E10" s="3">
        <v>89.99</v>
      </c>
      <c r="F10" s="3">
        <v>1</v>
      </c>
      <c r="G10" s="3">
        <f t="shared" si="0"/>
        <v>449.95</v>
      </c>
      <c r="H10" s="14">
        <f t="shared" si="1"/>
        <v>539.93999999999994</v>
      </c>
      <c r="I10" s="3">
        <f>Table1[[#This Row],[Ship Date]]-Table1[[#This Row],[Order Date]]</f>
        <v>1</v>
      </c>
      <c r="J10" s="19" t="str">
        <f>IF(COUNTIF(Table1[Customer Name],Table1[[#This Row],[Customer Name]])&gt;1,"Repeat","New")</f>
        <v>New</v>
      </c>
      <c r="K10" s="3">
        <f>MONTH(Table1[[#This Row],[Order Date]])</f>
        <v>1</v>
      </c>
      <c r="L10" s="30"/>
    </row>
    <row r="11" spans="1:23" ht="18" x14ac:dyDescent="0.3">
      <c r="A11" s="12" t="s">
        <v>26</v>
      </c>
      <c r="B11" s="4">
        <v>45296</v>
      </c>
      <c r="C11" s="3" t="s">
        <v>27</v>
      </c>
      <c r="D11" s="4">
        <v>45299</v>
      </c>
      <c r="E11" s="3">
        <v>199.99</v>
      </c>
      <c r="F11" s="3">
        <v>1</v>
      </c>
      <c r="G11" s="3">
        <f t="shared" si="0"/>
        <v>999.95</v>
      </c>
      <c r="H11" s="14">
        <f t="shared" si="1"/>
        <v>1199.94</v>
      </c>
      <c r="I11" s="3">
        <f>Table1[[#This Row],[Ship Date]]-Table1[[#This Row],[Order Date]]</f>
        <v>3</v>
      </c>
      <c r="J11" s="19" t="str">
        <f>IF(COUNTIF(Table1[Customer Name],Table1[[#This Row],[Customer Name]])&gt;1,"Repeat","New")</f>
        <v>New</v>
      </c>
      <c r="K11" s="3">
        <f>MONTH(Table1[[#This Row],[Order Date]])</f>
        <v>1</v>
      </c>
      <c r="L11" s="30"/>
      <c r="N11" s="33" t="s">
        <v>164</v>
      </c>
      <c r="O11" s="29"/>
      <c r="R11" s="31" t="s">
        <v>173</v>
      </c>
      <c r="S11" s="31"/>
      <c r="T11" s="31"/>
    </row>
    <row r="12" spans="1:23" x14ac:dyDescent="0.3">
      <c r="A12" s="12" t="s">
        <v>28</v>
      </c>
      <c r="B12" s="4">
        <v>45297</v>
      </c>
      <c r="C12" s="3" t="s">
        <v>29</v>
      </c>
      <c r="D12" s="4">
        <v>45298</v>
      </c>
      <c r="E12" s="3">
        <v>29.99</v>
      </c>
      <c r="F12" s="3">
        <v>5</v>
      </c>
      <c r="G12" s="3">
        <f t="shared" si="0"/>
        <v>749.75</v>
      </c>
      <c r="H12" s="14">
        <f t="shared" si="1"/>
        <v>899.7</v>
      </c>
      <c r="I12" s="3">
        <f>Table1[[#This Row],[Ship Date]]-Table1[[#This Row],[Order Date]]</f>
        <v>1</v>
      </c>
      <c r="J12" s="19" t="str">
        <f>IF(COUNTIF(Table1[Customer Name],Table1[[#This Row],[Customer Name]])&gt;1,"Repeat","New")</f>
        <v>New</v>
      </c>
      <c r="K12" s="3">
        <f>MONTH(Table1[[#This Row],[Order Date]])</f>
        <v>1</v>
      </c>
      <c r="L12" s="30"/>
      <c r="N12" s="29"/>
      <c r="O12" s="28"/>
      <c r="P12" s="28"/>
    </row>
    <row r="13" spans="1:23" ht="18" x14ac:dyDescent="0.3">
      <c r="A13" s="12" t="s">
        <v>30</v>
      </c>
      <c r="B13" s="4">
        <v>45297</v>
      </c>
      <c r="C13" s="3" t="s">
        <v>31</v>
      </c>
      <c r="D13" s="4">
        <v>45299</v>
      </c>
      <c r="E13" s="3">
        <v>79.989999999999995</v>
      </c>
      <c r="F13" s="3">
        <v>2</v>
      </c>
      <c r="G13" s="3">
        <f t="shared" si="0"/>
        <v>799.9</v>
      </c>
      <c r="H13" s="14">
        <f t="shared" si="1"/>
        <v>959.88</v>
      </c>
      <c r="I13" s="3">
        <f>Table1[[#This Row],[Ship Date]]-Table1[[#This Row],[Order Date]]</f>
        <v>2</v>
      </c>
      <c r="J13" s="19" t="str">
        <f>IF(COUNTIF(Table1[Customer Name],Table1[[#This Row],[Customer Name]])&gt;1,"Repeat","New")</f>
        <v>New</v>
      </c>
      <c r="K13" s="3">
        <f>MONTH(Table1[[#This Row],[Order Date]])</f>
        <v>1</v>
      </c>
      <c r="L13" s="30"/>
      <c r="N13" s="31" t="s">
        <v>186</v>
      </c>
      <c r="O13" s="24" t="s">
        <v>181</v>
      </c>
      <c r="P13" s="24" t="s">
        <v>182</v>
      </c>
      <c r="R13" s="33" t="s">
        <v>174</v>
      </c>
      <c r="S13" s="33"/>
    </row>
    <row r="14" spans="1:23" x14ac:dyDescent="0.3">
      <c r="A14" s="12" t="s">
        <v>32</v>
      </c>
      <c r="B14" s="4">
        <v>45298</v>
      </c>
      <c r="C14" s="3" t="s">
        <v>33</v>
      </c>
      <c r="D14" s="4">
        <v>45300</v>
      </c>
      <c r="E14" s="3">
        <v>49.99</v>
      </c>
      <c r="F14" s="3">
        <v>3</v>
      </c>
      <c r="G14" s="3">
        <f t="shared" si="0"/>
        <v>749.85</v>
      </c>
      <c r="H14" s="14">
        <f t="shared" si="1"/>
        <v>899.82</v>
      </c>
      <c r="I14" s="3">
        <f>Table1[[#This Row],[Ship Date]]-Table1[[#This Row],[Order Date]]</f>
        <v>2</v>
      </c>
      <c r="J14" s="19" t="str">
        <f>IF(COUNTIF(Table1[Customer Name],Table1[[#This Row],[Customer Name]])&gt;1,"Repeat","New")</f>
        <v>New</v>
      </c>
      <c r="K14" s="3">
        <f>MONTH(Table1[[#This Row],[Order Date]])</f>
        <v>1</v>
      </c>
      <c r="L14" s="30"/>
      <c r="N14" s="29"/>
      <c r="O14" s="26" t="s">
        <v>47</v>
      </c>
      <c r="P14" s="36">
        <v>2939.5200000000004</v>
      </c>
      <c r="R14" s="22"/>
    </row>
    <row r="15" spans="1:23" x14ac:dyDescent="0.3">
      <c r="A15" s="12" t="s">
        <v>34</v>
      </c>
      <c r="B15" s="4">
        <v>45298</v>
      </c>
      <c r="C15" s="3" t="s">
        <v>35</v>
      </c>
      <c r="D15" s="4">
        <v>45303</v>
      </c>
      <c r="E15" s="3">
        <v>129.99</v>
      </c>
      <c r="F15" s="3">
        <v>1</v>
      </c>
      <c r="G15" s="3">
        <f t="shared" si="0"/>
        <v>649.95000000000005</v>
      </c>
      <c r="H15" s="14">
        <f t="shared" si="1"/>
        <v>779.94</v>
      </c>
      <c r="I15" s="3">
        <f>Table1[[#This Row],[Ship Date]]-Table1[[#This Row],[Order Date]]</f>
        <v>5</v>
      </c>
      <c r="J15" s="19" t="str">
        <f>IF(COUNTIF(Table1[Customer Name],Table1[[#This Row],[Customer Name]])&gt;1,"Repeat","New")</f>
        <v>New</v>
      </c>
      <c r="K15" s="3">
        <f>MONTH(Table1[[#This Row],[Order Date]])</f>
        <v>1</v>
      </c>
      <c r="L15" s="30"/>
      <c r="N15" s="29"/>
      <c r="O15" s="26" t="s">
        <v>13</v>
      </c>
      <c r="P15" s="36">
        <v>2759.7</v>
      </c>
      <c r="R15" s="31" t="s">
        <v>175</v>
      </c>
      <c r="S15" s="31"/>
    </row>
    <row r="16" spans="1:23" x14ac:dyDescent="0.3">
      <c r="A16" s="12" t="s">
        <v>36</v>
      </c>
      <c r="B16" s="4">
        <v>45299</v>
      </c>
      <c r="C16" s="3" t="s">
        <v>37</v>
      </c>
      <c r="D16" s="4">
        <v>45304</v>
      </c>
      <c r="E16" s="3">
        <v>19.989999999999998</v>
      </c>
      <c r="F16" s="3">
        <v>4</v>
      </c>
      <c r="G16" s="3">
        <f t="shared" si="0"/>
        <v>399.79999999999995</v>
      </c>
      <c r="H16" s="14">
        <f t="shared" si="1"/>
        <v>479.75999999999993</v>
      </c>
      <c r="I16" s="3">
        <f>Table1[[#This Row],[Ship Date]]-Table1[[#This Row],[Order Date]]</f>
        <v>5</v>
      </c>
      <c r="J16" s="19" t="str">
        <f>IF(COUNTIF(Table1[Customer Name],Table1[[#This Row],[Customer Name]])&gt;1,"Repeat","New")</f>
        <v>New</v>
      </c>
      <c r="K16" s="3">
        <f>MONTH(Table1[[#This Row],[Order Date]])</f>
        <v>1</v>
      </c>
      <c r="L16" s="30"/>
      <c r="N16" s="29"/>
      <c r="O16" s="26" t="s">
        <v>17</v>
      </c>
      <c r="P16" s="36">
        <v>2579.8200000000002</v>
      </c>
      <c r="R16" s="31" t="s">
        <v>176</v>
      </c>
      <c r="S16" s="31"/>
      <c r="T16" s="31"/>
    </row>
    <row r="17" spans="1:20" x14ac:dyDescent="0.3">
      <c r="A17" s="12" t="s">
        <v>38</v>
      </c>
      <c r="B17" s="4">
        <v>45299</v>
      </c>
      <c r="C17" s="3" t="s">
        <v>39</v>
      </c>
      <c r="D17" s="4">
        <v>45303</v>
      </c>
      <c r="E17" s="3">
        <v>149.99</v>
      </c>
      <c r="F17" s="3">
        <v>1</v>
      </c>
      <c r="G17" s="3">
        <f t="shared" si="0"/>
        <v>749.95</v>
      </c>
      <c r="H17" s="14">
        <f t="shared" si="1"/>
        <v>899.94</v>
      </c>
      <c r="I17" s="3">
        <f>Table1[[#This Row],[Ship Date]]-Table1[[#This Row],[Order Date]]</f>
        <v>4</v>
      </c>
      <c r="J17" s="19" t="str">
        <f>IF(COUNTIF(Table1[Customer Name],Table1[[#This Row],[Customer Name]])&gt;1,"Repeat","New")</f>
        <v>New</v>
      </c>
      <c r="K17" s="3">
        <f>MONTH(Table1[[#This Row],[Order Date]])</f>
        <v>1</v>
      </c>
      <c r="L17" s="30"/>
      <c r="N17" s="29"/>
      <c r="O17" s="26" t="s">
        <v>97</v>
      </c>
      <c r="P17" s="36">
        <v>2159.8200000000002</v>
      </c>
      <c r="R17" s="31" t="s">
        <v>177</v>
      </c>
      <c r="S17" s="31"/>
      <c r="T17" s="31"/>
    </row>
    <row r="18" spans="1:20" x14ac:dyDescent="0.3">
      <c r="A18" s="12" t="s">
        <v>40</v>
      </c>
      <c r="B18" s="4">
        <v>45300</v>
      </c>
      <c r="C18" s="3" t="s">
        <v>41</v>
      </c>
      <c r="D18" s="4">
        <v>45305</v>
      </c>
      <c r="E18" s="3">
        <v>69.989999999999995</v>
      </c>
      <c r="F18" s="3">
        <v>2</v>
      </c>
      <c r="G18" s="3">
        <f t="shared" si="0"/>
        <v>699.9</v>
      </c>
      <c r="H18" s="14">
        <f t="shared" si="1"/>
        <v>839.88</v>
      </c>
      <c r="I18" s="3">
        <f>Table1[[#This Row],[Ship Date]]-Table1[[#This Row],[Order Date]]</f>
        <v>5</v>
      </c>
      <c r="J18" s="19" t="str">
        <f>IF(COUNTIF(Table1[Customer Name],Table1[[#This Row],[Customer Name]])&gt;1,"Repeat","New")</f>
        <v>New</v>
      </c>
      <c r="K18" s="3">
        <f>MONTH(Table1[[#This Row],[Order Date]])</f>
        <v>1</v>
      </c>
      <c r="L18" s="30"/>
      <c r="N18" s="29"/>
      <c r="O18" s="26" t="s">
        <v>99</v>
      </c>
      <c r="P18" s="36">
        <v>1799.52</v>
      </c>
      <c r="R18" s="31" t="s">
        <v>178</v>
      </c>
      <c r="S18" s="31"/>
      <c r="T18" s="31"/>
    </row>
    <row r="19" spans="1:20" x14ac:dyDescent="0.3">
      <c r="A19" s="12" t="s">
        <v>42</v>
      </c>
      <c r="B19" s="4">
        <v>45300</v>
      </c>
      <c r="C19" s="3" t="s">
        <v>43</v>
      </c>
      <c r="D19" s="4">
        <v>45303</v>
      </c>
      <c r="E19" s="3">
        <v>39.99</v>
      </c>
      <c r="F19" s="3">
        <v>3</v>
      </c>
      <c r="G19" s="3">
        <f t="shared" si="0"/>
        <v>599.85</v>
      </c>
      <c r="H19" s="14">
        <f t="shared" si="1"/>
        <v>719.82</v>
      </c>
      <c r="I19" s="3">
        <f>Table1[[#This Row],[Ship Date]]-Table1[[#This Row],[Order Date]]</f>
        <v>3</v>
      </c>
      <c r="J19" s="19" t="str">
        <f>IF(COUNTIF(Table1[Customer Name],Table1[[#This Row],[Customer Name]])&gt;1,"Repeat","New")</f>
        <v>New</v>
      </c>
      <c r="K19" s="3">
        <f>MONTH(Table1[[#This Row],[Order Date]])</f>
        <v>1</v>
      </c>
      <c r="L19" s="30"/>
      <c r="N19" s="29"/>
      <c r="O19" s="26" t="s">
        <v>180</v>
      </c>
      <c r="P19" s="36">
        <v>12238.380000000001</v>
      </c>
    </row>
    <row r="20" spans="1:20" x14ac:dyDescent="0.3">
      <c r="A20" s="12" t="s">
        <v>44</v>
      </c>
      <c r="B20" s="4">
        <v>45301</v>
      </c>
      <c r="C20" s="3" t="s">
        <v>45</v>
      </c>
      <c r="D20" s="4">
        <v>45302</v>
      </c>
      <c r="E20" s="3">
        <v>199.99</v>
      </c>
      <c r="F20" s="3">
        <v>1</v>
      </c>
      <c r="G20" s="3">
        <f t="shared" si="0"/>
        <v>999.95</v>
      </c>
      <c r="H20" s="14">
        <f t="shared" si="1"/>
        <v>1199.94</v>
      </c>
      <c r="I20" s="3">
        <f>Table1[[#This Row],[Ship Date]]-Table1[[#This Row],[Order Date]]</f>
        <v>1</v>
      </c>
      <c r="J20" s="19" t="str">
        <f>IF(COUNTIF(Table1[Customer Name],Table1[[#This Row],[Customer Name]])&gt;1,"Repeat","New")</f>
        <v>New</v>
      </c>
      <c r="K20" s="3">
        <f>MONTH(Table1[[#This Row],[Order Date]])</f>
        <v>1</v>
      </c>
      <c r="L20" s="30"/>
      <c r="N20" s="29"/>
      <c r="O20" s="29"/>
      <c r="P20" s="29"/>
      <c r="R20" s="21" t="s">
        <v>130</v>
      </c>
    </row>
    <row r="21" spans="1:20" x14ac:dyDescent="0.3">
      <c r="A21" s="12" t="s">
        <v>46</v>
      </c>
      <c r="B21" s="4">
        <v>45301</v>
      </c>
      <c r="C21" s="3" t="s">
        <v>47</v>
      </c>
      <c r="D21" s="4">
        <v>45305</v>
      </c>
      <c r="E21" s="3">
        <v>29.99</v>
      </c>
      <c r="F21" s="3">
        <v>5</v>
      </c>
      <c r="G21" s="3">
        <f t="shared" si="0"/>
        <v>749.75</v>
      </c>
      <c r="H21" s="14">
        <f t="shared" si="1"/>
        <v>899.7</v>
      </c>
      <c r="I21" s="3">
        <f>Table1[[#This Row],[Ship Date]]-Table1[[#This Row],[Order Date]]</f>
        <v>4</v>
      </c>
      <c r="J21" s="19" t="str">
        <f>IF(COUNTIF(Table1[Customer Name],Table1[[#This Row],[Customer Name]])&gt;1,"Repeat","New")</f>
        <v>Repeat</v>
      </c>
      <c r="K21" s="3">
        <f>MONTH(Table1[[#This Row],[Order Date]])</f>
        <v>1</v>
      </c>
      <c r="L21" s="30"/>
      <c r="N21" s="31" t="s">
        <v>187</v>
      </c>
      <c r="O21" s="24" t="s">
        <v>190</v>
      </c>
      <c r="P21" s="24" t="s">
        <v>182</v>
      </c>
      <c r="R21" s="22"/>
    </row>
    <row r="22" spans="1:20" x14ac:dyDescent="0.3">
      <c r="A22" s="12" t="s">
        <v>48</v>
      </c>
      <c r="B22" s="4">
        <v>45302</v>
      </c>
      <c r="C22" s="3" t="s">
        <v>49</v>
      </c>
      <c r="D22" s="4">
        <v>45305</v>
      </c>
      <c r="E22" s="3">
        <v>79.989999999999995</v>
      </c>
      <c r="F22" s="3">
        <v>2</v>
      </c>
      <c r="G22" s="3">
        <f t="shared" si="0"/>
        <v>799.9</v>
      </c>
      <c r="H22" s="14">
        <f t="shared" si="1"/>
        <v>959.88</v>
      </c>
      <c r="I22" s="3">
        <f>Table1[[#This Row],[Ship Date]]-Table1[[#This Row],[Order Date]]</f>
        <v>3</v>
      </c>
      <c r="J22" s="19" t="str">
        <f>IF(COUNTIF(Table1[Customer Name],Table1[[#This Row],[Customer Name]])&gt;1,"Repeat","New")</f>
        <v>New</v>
      </c>
      <c r="K22" s="3">
        <f>MONTH(Table1[[#This Row],[Order Date]])</f>
        <v>1</v>
      </c>
      <c r="L22" s="30"/>
      <c r="N22" s="29"/>
      <c r="O22" s="26" t="s">
        <v>47</v>
      </c>
      <c r="P22" s="36">
        <v>2939.5200000000004</v>
      </c>
      <c r="R22" s="22" t="s">
        <v>131</v>
      </c>
    </row>
    <row r="23" spans="1:20" x14ac:dyDescent="0.3">
      <c r="A23" s="12" t="s">
        <v>50</v>
      </c>
      <c r="B23" s="4">
        <v>45302</v>
      </c>
      <c r="C23" s="3" t="s">
        <v>51</v>
      </c>
      <c r="D23" s="4">
        <v>45306</v>
      </c>
      <c r="E23" s="3">
        <v>49.99</v>
      </c>
      <c r="F23" s="3">
        <v>3</v>
      </c>
      <c r="G23" s="3">
        <f t="shared" si="0"/>
        <v>749.85</v>
      </c>
      <c r="H23" s="14">
        <f t="shared" si="1"/>
        <v>899.82</v>
      </c>
      <c r="I23" s="3">
        <f>Table1[[#This Row],[Ship Date]]-Table1[[#This Row],[Order Date]]</f>
        <v>4</v>
      </c>
      <c r="J23" s="19" t="str">
        <f>IF(COUNTIF(Table1[Customer Name],Table1[[#This Row],[Customer Name]])&gt;1,"Repeat","New")</f>
        <v>New</v>
      </c>
      <c r="K23" s="3">
        <f>MONTH(Table1[[#This Row],[Order Date]])</f>
        <v>1</v>
      </c>
      <c r="L23" s="30"/>
      <c r="N23" s="29"/>
      <c r="O23" s="26" t="s">
        <v>180</v>
      </c>
      <c r="P23" s="36">
        <v>2939.5200000000004</v>
      </c>
      <c r="R23" s="22" t="s">
        <v>132</v>
      </c>
    </row>
    <row r="24" spans="1:20" x14ac:dyDescent="0.3">
      <c r="A24" s="12" t="s">
        <v>52</v>
      </c>
      <c r="B24" s="4">
        <v>45303</v>
      </c>
      <c r="C24" s="3" t="s">
        <v>53</v>
      </c>
      <c r="D24" s="4">
        <v>45308</v>
      </c>
      <c r="E24" s="3">
        <v>129.99</v>
      </c>
      <c r="F24" s="3">
        <v>1</v>
      </c>
      <c r="G24" s="3">
        <f t="shared" si="0"/>
        <v>649.95000000000005</v>
      </c>
      <c r="H24" s="14">
        <f t="shared" si="1"/>
        <v>779.94</v>
      </c>
      <c r="I24" s="3">
        <f>Table1[[#This Row],[Ship Date]]-Table1[[#This Row],[Order Date]]</f>
        <v>5</v>
      </c>
      <c r="J24" s="19" t="str">
        <f>IF(COUNTIF(Table1[Customer Name],Table1[[#This Row],[Customer Name]])&gt;1,"Repeat","New")</f>
        <v>New</v>
      </c>
      <c r="K24" s="3">
        <f>MONTH(Table1[[#This Row],[Order Date]])</f>
        <v>1</v>
      </c>
      <c r="L24" s="30"/>
      <c r="N24" s="29"/>
      <c r="O24" s="29"/>
      <c r="P24" s="29"/>
      <c r="R24" s="22" t="s">
        <v>133</v>
      </c>
    </row>
    <row r="25" spans="1:20" x14ac:dyDescent="0.3">
      <c r="A25" s="12" t="s">
        <v>54</v>
      </c>
      <c r="B25" s="4">
        <v>45303</v>
      </c>
      <c r="C25" s="3" t="s">
        <v>55</v>
      </c>
      <c r="D25" s="4">
        <v>45308</v>
      </c>
      <c r="E25" s="3">
        <v>19.989999999999998</v>
      </c>
      <c r="F25" s="3">
        <v>4</v>
      </c>
      <c r="G25" s="3">
        <f t="shared" si="0"/>
        <v>399.79999999999995</v>
      </c>
      <c r="H25" s="14">
        <f t="shared" si="1"/>
        <v>479.75999999999993</v>
      </c>
      <c r="I25" s="3">
        <f>Table1[[#This Row],[Ship Date]]-Table1[[#This Row],[Order Date]]</f>
        <v>5</v>
      </c>
      <c r="J25" s="19" t="str">
        <f>IF(COUNTIF(Table1[Customer Name],Table1[[#This Row],[Customer Name]])&gt;1,"Repeat","New")</f>
        <v>Repeat</v>
      </c>
      <c r="K25" s="3">
        <f>MONTH(Table1[[#This Row],[Order Date]])</f>
        <v>1</v>
      </c>
      <c r="L25" s="30"/>
      <c r="N25" s="31" t="s">
        <v>188</v>
      </c>
      <c r="O25" s="24" t="s">
        <v>181</v>
      </c>
      <c r="P25" s="24" t="s">
        <v>184</v>
      </c>
      <c r="R25" s="22" t="s">
        <v>134</v>
      </c>
    </row>
    <row r="26" spans="1:20" x14ac:dyDescent="0.3">
      <c r="A26" s="12" t="s">
        <v>56</v>
      </c>
      <c r="B26" s="4">
        <v>45304</v>
      </c>
      <c r="C26" s="3" t="s">
        <v>17</v>
      </c>
      <c r="D26" s="4">
        <v>45308</v>
      </c>
      <c r="E26" s="3">
        <v>149.99</v>
      </c>
      <c r="F26" s="3">
        <v>1</v>
      </c>
      <c r="G26" s="3">
        <f t="shared" si="0"/>
        <v>749.95</v>
      </c>
      <c r="H26" s="14">
        <f t="shared" si="1"/>
        <v>899.94</v>
      </c>
      <c r="I26" s="3">
        <f>Table1[[#This Row],[Ship Date]]-Table1[[#This Row],[Order Date]]</f>
        <v>4</v>
      </c>
      <c r="J26" s="19" t="str">
        <f>IF(COUNTIF(Table1[Customer Name],Table1[[#This Row],[Customer Name]])&gt;1,"Repeat","New")</f>
        <v>Repeat</v>
      </c>
      <c r="K26" s="3">
        <f>MONTH(Table1[[#This Row],[Order Date]])</f>
        <v>1</v>
      </c>
      <c r="L26" s="30"/>
      <c r="N26" s="29"/>
      <c r="O26" s="26" t="s">
        <v>17</v>
      </c>
      <c r="P26" s="27">
        <v>3</v>
      </c>
      <c r="R26" s="22" t="s">
        <v>135</v>
      </c>
    </row>
    <row r="27" spans="1:20" x14ac:dyDescent="0.3">
      <c r="A27" s="12" t="s">
        <v>57</v>
      </c>
      <c r="B27" s="4">
        <v>45304</v>
      </c>
      <c r="C27" s="3" t="s">
        <v>58</v>
      </c>
      <c r="D27" s="4">
        <v>45305</v>
      </c>
      <c r="E27" s="3">
        <v>69.989999999999995</v>
      </c>
      <c r="F27" s="3">
        <v>2</v>
      </c>
      <c r="G27" s="3">
        <f t="shared" si="0"/>
        <v>699.9</v>
      </c>
      <c r="H27" s="14">
        <f t="shared" si="1"/>
        <v>839.88</v>
      </c>
      <c r="I27" s="3">
        <f>Table1[[#This Row],[Ship Date]]-Table1[[#This Row],[Order Date]]</f>
        <v>1</v>
      </c>
      <c r="J27" s="19" t="str">
        <f>IF(COUNTIF(Table1[Customer Name],Table1[[#This Row],[Customer Name]])&gt;1,"Repeat","New")</f>
        <v>New</v>
      </c>
      <c r="K27" s="3">
        <f>MONTH(Table1[[#This Row],[Order Date]])</f>
        <v>1</v>
      </c>
      <c r="L27" s="30"/>
      <c r="N27" s="29"/>
      <c r="O27" s="26" t="s">
        <v>15</v>
      </c>
      <c r="P27" s="27">
        <v>3</v>
      </c>
      <c r="R27" s="22" t="s">
        <v>136</v>
      </c>
    </row>
    <row r="28" spans="1:20" x14ac:dyDescent="0.3">
      <c r="A28" s="12" t="s">
        <v>59</v>
      </c>
      <c r="B28" s="4">
        <v>45305</v>
      </c>
      <c r="C28" s="3" t="s">
        <v>60</v>
      </c>
      <c r="D28" s="4">
        <v>45309</v>
      </c>
      <c r="E28" s="3">
        <v>39.99</v>
      </c>
      <c r="F28" s="3">
        <v>3</v>
      </c>
      <c r="G28" s="3">
        <f t="shared" si="0"/>
        <v>599.85</v>
      </c>
      <c r="H28" s="14">
        <f t="shared" si="1"/>
        <v>719.82</v>
      </c>
      <c r="I28" s="3">
        <f>Table1[[#This Row],[Ship Date]]-Table1[[#This Row],[Order Date]]</f>
        <v>4</v>
      </c>
      <c r="J28" s="19" t="str">
        <f>IF(COUNTIF(Table1[Customer Name],Table1[[#This Row],[Customer Name]])&gt;1,"Repeat","New")</f>
        <v>New</v>
      </c>
      <c r="K28" s="3">
        <f>MONTH(Table1[[#This Row],[Order Date]])</f>
        <v>1</v>
      </c>
      <c r="L28" s="30"/>
      <c r="N28" s="29"/>
      <c r="O28" s="26" t="s">
        <v>47</v>
      </c>
      <c r="P28" s="27">
        <v>3</v>
      </c>
      <c r="R28" s="22" t="s">
        <v>137</v>
      </c>
    </row>
    <row r="29" spans="1:20" x14ac:dyDescent="0.3">
      <c r="A29" s="12" t="s">
        <v>61</v>
      </c>
      <c r="B29" s="4">
        <v>45305</v>
      </c>
      <c r="C29" s="3" t="s">
        <v>62</v>
      </c>
      <c r="D29" s="4">
        <v>45310</v>
      </c>
      <c r="E29" s="3">
        <v>199.99</v>
      </c>
      <c r="F29" s="3">
        <v>1</v>
      </c>
      <c r="G29" s="3">
        <f t="shared" si="0"/>
        <v>999.95</v>
      </c>
      <c r="H29" s="14">
        <f t="shared" si="1"/>
        <v>1199.94</v>
      </c>
      <c r="I29" s="3">
        <f>Table1[[#This Row],[Ship Date]]-Table1[[#This Row],[Order Date]]</f>
        <v>5</v>
      </c>
      <c r="J29" s="19" t="str">
        <f>IF(COUNTIF(Table1[Customer Name],Table1[[#This Row],[Customer Name]])&gt;1,"Repeat","New")</f>
        <v>New</v>
      </c>
      <c r="K29" s="3">
        <f>MONTH(Table1[[#This Row],[Order Date]])</f>
        <v>1</v>
      </c>
      <c r="L29" s="30"/>
      <c r="N29" s="29"/>
      <c r="O29" s="26" t="s">
        <v>89</v>
      </c>
      <c r="P29" s="27">
        <v>2</v>
      </c>
    </row>
    <row r="30" spans="1:20" x14ac:dyDescent="0.3">
      <c r="A30" s="12" t="s">
        <v>63</v>
      </c>
      <c r="B30" s="4">
        <v>45306</v>
      </c>
      <c r="C30" s="3" t="s">
        <v>64</v>
      </c>
      <c r="D30" s="4">
        <v>45310</v>
      </c>
      <c r="E30" s="3">
        <v>29.99</v>
      </c>
      <c r="F30" s="3">
        <v>5</v>
      </c>
      <c r="G30" s="3">
        <f t="shared" si="0"/>
        <v>749.75</v>
      </c>
      <c r="H30" s="14">
        <f t="shared" si="1"/>
        <v>899.7</v>
      </c>
      <c r="I30" s="3">
        <f>Table1[[#This Row],[Ship Date]]-Table1[[#This Row],[Order Date]]</f>
        <v>4</v>
      </c>
      <c r="J30" s="19" t="str">
        <f>IF(COUNTIF(Table1[Customer Name],Table1[[#This Row],[Customer Name]])&gt;1,"Repeat","New")</f>
        <v>New</v>
      </c>
      <c r="K30" s="3">
        <f>MONTH(Table1[[#This Row],[Order Date]])</f>
        <v>1</v>
      </c>
      <c r="L30" s="30"/>
      <c r="N30" s="29"/>
      <c r="O30" s="26" t="s">
        <v>92</v>
      </c>
      <c r="P30" s="27">
        <v>2</v>
      </c>
    </row>
    <row r="31" spans="1:20" x14ac:dyDescent="0.3">
      <c r="A31" s="12" t="s">
        <v>65</v>
      </c>
      <c r="B31" s="4">
        <v>45306</v>
      </c>
      <c r="C31" s="3" t="s">
        <v>66</v>
      </c>
      <c r="D31" s="4">
        <v>45310</v>
      </c>
      <c r="E31" s="3">
        <v>79.989999999999995</v>
      </c>
      <c r="F31" s="3">
        <v>2</v>
      </c>
      <c r="G31" s="3">
        <f t="shared" si="0"/>
        <v>799.9</v>
      </c>
      <c r="H31" s="14">
        <f t="shared" si="1"/>
        <v>959.88</v>
      </c>
      <c r="I31" s="3">
        <f>Table1[[#This Row],[Ship Date]]-Table1[[#This Row],[Order Date]]</f>
        <v>4</v>
      </c>
      <c r="J31" s="19" t="str">
        <f>IF(COUNTIF(Table1[Customer Name],Table1[[#This Row],[Customer Name]])&gt;1,"Repeat","New")</f>
        <v>New</v>
      </c>
      <c r="K31" s="3">
        <f>MONTH(Table1[[#This Row],[Order Date]])</f>
        <v>1</v>
      </c>
      <c r="L31" s="30"/>
      <c r="N31" s="29"/>
      <c r="O31" s="26" t="s">
        <v>13</v>
      </c>
      <c r="P31" s="27">
        <v>2</v>
      </c>
    </row>
    <row r="32" spans="1:20" x14ac:dyDescent="0.3">
      <c r="A32" s="12" t="s">
        <v>67</v>
      </c>
      <c r="B32" s="4">
        <v>45307</v>
      </c>
      <c r="C32" s="3" t="s">
        <v>68</v>
      </c>
      <c r="D32" s="4">
        <v>45310</v>
      </c>
      <c r="E32" s="3">
        <v>49.99</v>
      </c>
      <c r="F32" s="3">
        <v>3</v>
      </c>
      <c r="G32" s="3">
        <f t="shared" si="0"/>
        <v>749.85</v>
      </c>
      <c r="H32" s="14">
        <f t="shared" si="1"/>
        <v>899.82</v>
      </c>
      <c r="I32" s="3">
        <f>Table1[[#This Row],[Ship Date]]-Table1[[#This Row],[Order Date]]</f>
        <v>3</v>
      </c>
      <c r="J32" s="19" t="str">
        <f>IF(COUNTIF(Table1[Customer Name],Table1[[#This Row],[Customer Name]])&gt;1,"Repeat","New")</f>
        <v>New</v>
      </c>
      <c r="K32" s="3">
        <f>MONTH(Table1[[#This Row],[Order Date]])</f>
        <v>1</v>
      </c>
      <c r="L32" s="30"/>
      <c r="N32" s="29"/>
      <c r="O32" s="26" t="s">
        <v>99</v>
      </c>
      <c r="P32" s="27">
        <v>2</v>
      </c>
    </row>
    <row r="33" spans="1:16" x14ac:dyDescent="0.3">
      <c r="A33" s="12" t="s">
        <v>69</v>
      </c>
      <c r="B33" s="4">
        <v>45307</v>
      </c>
      <c r="C33" s="3" t="s">
        <v>70</v>
      </c>
      <c r="D33" s="4">
        <v>45308</v>
      </c>
      <c r="E33" s="3">
        <v>129.99</v>
      </c>
      <c r="F33" s="3">
        <v>1</v>
      </c>
      <c r="G33" s="3">
        <f t="shared" si="0"/>
        <v>649.95000000000005</v>
      </c>
      <c r="H33" s="14">
        <f t="shared" si="1"/>
        <v>779.94</v>
      </c>
      <c r="I33" s="3">
        <f>Table1[[#This Row],[Ship Date]]-Table1[[#This Row],[Order Date]]</f>
        <v>1</v>
      </c>
      <c r="J33" s="19" t="str">
        <f>IF(COUNTIF(Table1[Customer Name],Table1[[#This Row],[Customer Name]])&gt;1,"Repeat","New")</f>
        <v>New</v>
      </c>
      <c r="K33" s="3">
        <f>MONTH(Table1[[#This Row],[Order Date]])</f>
        <v>1</v>
      </c>
      <c r="L33" s="30"/>
      <c r="N33" s="29"/>
      <c r="O33" s="26" t="s">
        <v>97</v>
      </c>
      <c r="P33" s="27">
        <v>2</v>
      </c>
    </row>
    <row r="34" spans="1:16" x14ac:dyDescent="0.3">
      <c r="A34" s="12" t="s">
        <v>71</v>
      </c>
      <c r="B34" s="4">
        <v>45308</v>
      </c>
      <c r="C34" s="3" t="s">
        <v>72</v>
      </c>
      <c r="D34" s="4">
        <v>45310</v>
      </c>
      <c r="E34" s="3">
        <v>19.989999999999998</v>
      </c>
      <c r="F34" s="3">
        <v>4</v>
      </c>
      <c r="G34" s="3">
        <f t="shared" si="0"/>
        <v>399.79999999999995</v>
      </c>
      <c r="H34" s="14">
        <f t="shared" si="1"/>
        <v>479.75999999999993</v>
      </c>
      <c r="I34" s="3">
        <f>Table1[[#This Row],[Ship Date]]-Table1[[#This Row],[Order Date]]</f>
        <v>2</v>
      </c>
      <c r="J34" s="19" t="str">
        <f>IF(COUNTIF(Table1[Customer Name],Table1[[#This Row],[Customer Name]])&gt;1,"Repeat","New")</f>
        <v>New</v>
      </c>
      <c r="K34" s="3">
        <f>MONTH(Table1[[#This Row],[Order Date]])</f>
        <v>1</v>
      </c>
      <c r="L34" s="30"/>
      <c r="N34" s="29"/>
      <c r="O34" s="26" t="s">
        <v>105</v>
      </c>
      <c r="P34" s="27">
        <v>2</v>
      </c>
    </row>
    <row r="35" spans="1:16" x14ac:dyDescent="0.3">
      <c r="A35" s="12" t="s">
        <v>73</v>
      </c>
      <c r="B35" s="4">
        <v>45308</v>
      </c>
      <c r="C35" s="3" t="s">
        <v>74</v>
      </c>
      <c r="D35" s="4">
        <v>45310</v>
      </c>
      <c r="E35" s="3">
        <v>149.99</v>
      </c>
      <c r="F35" s="3">
        <v>1</v>
      </c>
      <c r="G35" s="3">
        <f t="shared" si="0"/>
        <v>749.95</v>
      </c>
      <c r="H35" s="14">
        <f t="shared" si="1"/>
        <v>899.94</v>
      </c>
      <c r="I35" s="3">
        <f>Table1[[#This Row],[Ship Date]]-Table1[[#This Row],[Order Date]]</f>
        <v>2</v>
      </c>
      <c r="J35" s="19" t="str">
        <f>IF(COUNTIF(Table1[Customer Name],Table1[[#This Row],[Customer Name]])&gt;1,"Repeat","New")</f>
        <v>New</v>
      </c>
      <c r="K35" s="3">
        <f>MONTH(Table1[[#This Row],[Order Date]])</f>
        <v>1</v>
      </c>
      <c r="L35" s="30"/>
      <c r="N35" s="29"/>
      <c r="O35" s="26" t="s">
        <v>103</v>
      </c>
      <c r="P35" s="27">
        <v>2</v>
      </c>
    </row>
    <row r="36" spans="1:16" x14ac:dyDescent="0.3">
      <c r="A36" s="12" t="s">
        <v>75</v>
      </c>
      <c r="B36" s="4">
        <v>45309</v>
      </c>
      <c r="C36" s="3" t="s">
        <v>76</v>
      </c>
      <c r="D36" s="4">
        <v>45314</v>
      </c>
      <c r="E36" s="3">
        <v>69.989999999999995</v>
      </c>
      <c r="F36" s="3">
        <v>2</v>
      </c>
      <c r="G36" s="3">
        <f t="shared" si="0"/>
        <v>699.9</v>
      </c>
      <c r="H36" s="14">
        <f t="shared" si="1"/>
        <v>839.88</v>
      </c>
      <c r="I36" s="3">
        <f>Table1[[#This Row],[Ship Date]]-Table1[[#This Row],[Order Date]]</f>
        <v>5</v>
      </c>
      <c r="J36" s="19" t="str">
        <f>IF(COUNTIF(Table1[Customer Name],Table1[[#This Row],[Customer Name]])&gt;1,"Repeat","New")</f>
        <v>New</v>
      </c>
      <c r="K36" s="3">
        <f>MONTH(Table1[[#This Row],[Order Date]])</f>
        <v>1</v>
      </c>
      <c r="L36" s="30"/>
      <c r="N36" s="29"/>
      <c r="O36" s="26" t="s">
        <v>101</v>
      </c>
      <c r="P36" s="27">
        <v>2</v>
      </c>
    </row>
    <row r="37" spans="1:16" x14ac:dyDescent="0.3">
      <c r="A37" s="12" t="s">
        <v>77</v>
      </c>
      <c r="B37" s="4">
        <v>45309</v>
      </c>
      <c r="C37" s="3" t="s">
        <v>78</v>
      </c>
      <c r="D37" s="4">
        <v>45310</v>
      </c>
      <c r="E37" s="3">
        <v>39.99</v>
      </c>
      <c r="F37" s="3">
        <v>3</v>
      </c>
      <c r="G37" s="3">
        <f t="shared" si="0"/>
        <v>599.85</v>
      </c>
      <c r="H37" s="14">
        <f t="shared" si="1"/>
        <v>719.82</v>
      </c>
      <c r="I37" s="3">
        <f>Table1[[#This Row],[Ship Date]]-Table1[[#This Row],[Order Date]]</f>
        <v>1</v>
      </c>
      <c r="J37" s="19" t="str">
        <f>IF(COUNTIF(Table1[Customer Name],Table1[[#This Row],[Customer Name]])&gt;1,"Repeat","New")</f>
        <v>New</v>
      </c>
      <c r="K37" s="3">
        <f>MONTH(Table1[[#This Row],[Order Date]])</f>
        <v>1</v>
      </c>
      <c r="L37" s="30"/>
      <c r="N37" s="29"/>
      <c r="O37" s="26" t="s">
        <v>95</v>
      </c>
      <c r="P37" s="27">
        <v>2</v>
      </c>
    </row>
    <row r="38" spans="1:16" x14ac:dyDescent="0.3">
      <c r="A38" s="12" t="s">
        <v>79</v>
      </c>
      <c r="B38" s="4">
        <v>45310</v>
      </c>
      <c r="C38" s="3" t="s">
        <v>80</v>
      </c>
      <c r="D38" s="4">
        <v>45311</v>
      </c>
      <c r="E38" s="3">
        <v>199.99</v>
      </c>
      <c r="F38" s="3">
        <v>1</v>
      </c>
      <c r="G38" s="3">
        <f t="shared" si="0"/>
        <v>999.95</v>
      </c>
      <c r="H38" s="14">
        <f t="shared" si="1"/>
        <v>1199.94</v>
      </c>
      <c r="I38" s="3">
        <f>Table1[[#This Row],[Ship Date]]-Table1[[#This Row],[Order Date]]</f>
        <v>1</v>
      </c>
      <c r="J38" s="19" t="str">
        <f>IF(COUNTIF(Table1[Customer Name],Table1[[#This Row],[Customer Name]])&gt;1,"Repeat","New")</f>
        <v>New</v>
      </c>
      <c r="K38" s="3">
        <f>MONTH(Table1[[#This Row],[Order Date]])</f>
        <v>1</v>
      </c>
      <c r="L38" s="30"/>
      <c r="N38" s="29"/>
      <c r="O38" s="26" t="s">
        <v>87</v>
      </c>
      <c r="P38" s="27">
        <v>2</v>
      </c>
    </row>
    <row r="39" spans="1:16" x14ac:dyDescent="0.3">
      <c r="A39" s="12" t="s">
        <v>81</v>
      </c>
      <c r="B39" s="4">
        <v>45310</v>
      </c>
      <c r="C39" s="3" t="s">
        <v>82</v>
      </c>
      <c r="D39" s="4">
        <v>45313</v>
      </c>
      <c r="E39" s="3">
        <v>29.99</v>
      </c>
      <c r="F39" s="3">
        <v>5</v>
      </c>
      <c r="G39" s="3">
        <f t="shared" si="0"/>
        <v>749.75</v>
      </c>
      <c r="H39" s="14">
        <f t="shared" si="1"/>
        <v>899.7</v>
      </c>
      <c r="I39" s="3">
        <f>Table1[[#This Row],[Ship Date]]-Table1[[#This Row],[Order Date]]</f>
        <v>3</v>
      </c>
      <c r="J39" s="19" t="str">
        <f>IF(COUNTIF(Table1[Customer Name],Table1[[#This Row],[Customer Name]])&gt;1,"Repeat","New")</f>
        <v>New</v>
      </c>
      <c r="K39" s="3">
        <f>MONTH(Table1[[#This Row],[Order Date]])</f>
        <v>1</v>
      </c>
      <c r="L39" s="30"/>
      <c r="N39" s="29"/>
      <c r="O39" s="26" t="s">
        <v>55</v>
      </c>
      <c r="P39" s="27">
        <v>2</v>
      </c>
    </row>
    <row r="40" spans="1:16" x14ac:dyDescent="0.3">
      <c r="A40" s="12" t="s">
        <v>83</v>
      </c>
      <c r="B40" s="4">
        <v>45311</v>
      </c>
      <c r="C40" s="3" t="s">
        <v>13</v>
      </c>
      <c r="D40" s="4">
        <v>45315</v>
      </c>
      <c r="E40" s="3">
        <v>79.989999999999995</v>
      </c>
      <c r="F40" s="3">
        <v>2</v>
      </c>
      <c r="G40" s="3">
        <f t="shared" si="0"/>
        <v>799.9</v>
      </c>
      <c r="H40" s="14">
        <f t="shared" si="1"/>
        <v>959.88</v>
      </c>
      <c r="I40" s="3">
        <f>Table1[[#This Row],[Ship Date]]-Table1[[#This Row],[Order Date]]</f>
        <v>4</v>
      </c>
      <c r="J40" s="19" t="str">
        <f>IF(COUNTIF(Table1[Customer Name],Table1[[#This Row],[Customer Name]])&gt;1,"Repeat","New")</f>
        <v>Repeat</v>
      </c>
      <c r="K40" s="3">
        <f>MONTH(Table1[[#This Row],[Order Date]])</f>
        <v>1</v>
      </c>
      <c r="L40" s="30"/>
      <c r="N40" s="29"/>
      <c r="O40" s="26" t="s">
        <v>107</v>
      </c>
      <c r="P40" s="27">
        <v>2</v>
      </c>
    </row>
    <row r="41" spans="1:16" x14ac:dyDescent="0.3">
      <c r="A41" s="12" t="s">
        <v>84</v>
      </c>
      <c r="B41" s="4">
        <v>45311</v>
      </c>
      <c r="C41" s="3" t="s">
        <v>55</v>
      </c>
      <c r="D41" s="4">
        <v>45312</v>
      </c>
      <c r="E41" s="3">
        <v>49.99</v>
      </c>
      <c r="F41" s="3">
        <v>3</v>
      </c>
      <c r="G41" s="3">
        <f t="shared" si="0"/>
        <v>749.85</v>
      </c>
      <c r="H41" s="14">
        <f t="shared" si="1"/>
        <v>899.82</v>
      </c>
      <c r="I41" s="3">
        <f>Table1[[#This Row],[Ship Date]]-Table1[[#This Row],[Order Date]]</f>
        <v>1</v>
      </c>
      <c r="J41" s="19" t="str">
        <f>IF(COUNTIF(Table1[Customer Name],Table1[[#This Row],[Customer Name]])&gt;1,"Repeat","New")</f>
        <v>Repeat</v>
      </c>
      <c r="K41" s="3">
        <f>MONTH(Table1[[#This Row],[Order Date]])</f>
        <v>1</v>
      </c>
      <c r="L41" s="30"/>
      <c r="N41" s="29"/>
      <c r="O41" s="26" t="s">
        <v>109</v>
      </c>
      <c r="P41" s="27">
        <v>2</v>
      </c>
    </row>
    <row r="42" spans="1:16" x14ac:dyDescent="0.3">
      <c r="A42" s="12" t="s">
        <v>85</v>
      </c>
      <c r="B42" s="4">
        <v>45312</v>
      </c>
      <c r="C42" s="3" t="s">
        <v>17</v>
      </c>
      <c r="D42" s="4">
        <v>45317</v>
      </c>
      <c r="E42" s="3">
        <v>129.99</v>
      </c>
      <c r="F42" s="3">
        <v>1</v>
      </c>
      <c r="G42" s="3">
        <f t="shared" si="0"/>
        <v>649.95000000000005</v>
      </c>
      <c r="H42" s="14">
        <f t="shared" si="1"/>
        <v>779.94</v>
      </c>
      <c r="I42" s="3">
        <f>Table1[[#This Row],[Ship Date]]-Table1[[#This Row],[Order Date]]</f>
        <v>5</v>
      </c>
      <c r="J42" s="19" t="str">
        <f>IF(COUNTIF(Table1[Customer Name],Table1[[#This Row],[Customer Name]])&gt;1,"Repeat","New")</f>
        <v>Repeat</v>
      </c>
      <c r="K42" s="3">
        <f>MONTH(Table1[[#This Row],[Order Date]])</f>
        <v>1</v>
      </c>
      <c r="L42" s="30"/>
      <c r="N42" s="29"/>
      <c r="O42" s="26" t="s">
        <v>180</v>
      </c>
      <c r="P42" s="27">
        <v>35</v>
      </c>
    </row>
    <row r="43" spans="1:16" x14ac:dyDescent="0.3">
      <c r="A43" s="12" t="s">
        <v>86</v>
      </c>
      <c r="B43" s="4">
        <v>45312</v>
      </c>
      <c r="C43" s="3" t="s">
        <v>87</v>
      </c>
      <c r="D43" s="4">
        <v>45314</v>
      </c>
      <c r="E43" s="3">
        <v>19.989999999999998</v>
      </c>
      <c r="F43" s="3">
        <v>4</v>
      </c>
      <c r="G43" s="3">
        <f t="shared" si="0"/>
        <v>399.79999999999995</v>
      </c>
      <c r="H43" s="14">
        <f t="shared" si="1"/>
        <v>479.75999999999993</v>
      </c>
      <c r="I43" s="3">
        <f>Table1[[#This Row],[Ship Date]]-Table1[[#This Row],[Order Date]]</f>
        <v>2</v>
      </c>
      <c r="J43" s="19" t="str">
        <f>IF(COUNTIF(Table1[Customer Name],Table1[[#This Row],[Customer Name]])&gt;1,"Repeat","New")</f>
        <v>Repeat</v>
      </c>
      <c r="K43" s="3">
        <f>MONTH(Table1[[#This Row],[Order Date]])</f>
        <v>1</v>
      </c>
      <c r="L43" s="30"/>
      <c r="N43" s="29"/>
      <c r="O43" s="29"/>
      <c r="P43" s="29"/>
    </row>
    <row r="44" spans="1:16" x14ac:dyDescent="0.3">
      <c r="A44" s="12" t="s">
        <v>88</v>
      </c>
      <c r="B44" s="4">
        <v>45313</v>
      </c>
      <c r="C44" s="3" t="s">
        <v>89</v>
      </c>
      <c r="D44" s="4">
        <v>45316</v>
      </c>
      <c r="E44" s="3">
        <v>149.99</v>
      </c>
      <c r="F44" s="3">
        <v>1</v>
      </c>
      <c r="G44" s="3">
        <f t="shared" si="0"/>
        <v>749.95</v>
      </c>
      <c r="H44" s="14">
        <f t="shared" si="1"/>
        <v>899.94</v>
      </c>
      <c r="I44" s="3">
        <f>Table1[[#This Row],[Ship Date]]-Table1[[#This Row],[Order Date]]</f>
        <v>3</v>
      </c>
      <c r="J44" s="19" t="str">
        <f>IF(COUNTIF(Table1[Customer Name],Table1[[#This Row],[Customer Name]])&gt;1,"Repeat","New")</f>
        <v>Repeat</v>
      </c>
      <c r="K44" s="3">
        <f>MONTH(Table1[[#This Row],[Order Date]])</f>
        <v>1</v>
      </c>
      <c r="L44" s="30"/>
      <c r="N44" s="25" t="s">
        <v>189</v>
      </c>
      <c r="O44" s="24">
        <f>COUNTIF(J2:J71,"Repeat")*100/COUNTA(J2:J71)</f>
        <v>50</v>
      </c>
      <c r="P44" s="29"/>
    </row>
    <row r="45" spans="1:16" x14ac:dyDescent="0.3">
      <c r="A45" s="12" t="s">
        <v>90</v>
      </c>
      <c r="B45" s="4">
        <v>45313</v>
      </c>
      <c r="C45" s="3" t="s">
        <v>15</v>
      </c>
      <c r="D45" s="4">
        <v>45316</v>
      </c>
      <c r="E45" s="3">
        <v>69.989999999999995</v>
      </c>
      <c r="F45" s="3">
        <v>2</v>
      </c>
      <c r="G45" s="3">
        <f t="shared" si="0"/>
        <v>699.9</v>
      </c>
      <c r="H45" s="14">
        <f t="shared" si="1"/>
        <v>839.88</v>
      </c>
      <c r="I45" s="3">
        <f>Table1[[#This Row],[Ship Date]]-Table1[[#This Row],[Order Date]]</f>
        <v>3</v>
      </c>
      <c r="J45" s="19" t="str">
        <f>IF(COUNTIF(Table1[Customer Name],Table1[[#This Row],[Customer Name]])&gt;1,"Repeat","New")</f>
        <v>Repeat</v>
      </c>
      <c r="K45" s="3">
        <f>MONTH(Table1[[#This Row],[Order Date]])</f>
        <v>1</v>
      </c>
      <c r="L45" s="30"/>
      <c r="N45" s="29"/>
      <c r="O45" s="29"/>
      <c r="P45" s="29"/>
    </row>
    <row r="46" spans="1:16" ht="18" x14ac:dyDescent="0.3">
      <c r="A46" s="12" t="s">
        <v>91</v>
      </c>
      <c r="B46" s="4">
        <v>45314</v>
      </c>
      <c r="C46" s="3" t="s">
        <v>92</v>
      </c>
      <c r="D46" s="4">
        <v>45318</v>
      </c>
      <c r="E46" s="3">
        <v>39.99</v>
      </c>
      <c r="F46" s="3">
        <v>3</v>
      </c>
      <c r="G46" s="3">
        <f t="shared" si="0"/>
        <v>599.85</v>
      </c>
      <c r="H46" s="14">
        <f t="shared" si="1"/>
        <v>719.82</v>
      </c>
      <c r="I46" s="3">
        <f>Table1[[#This Row],[Ship Date]]-Table1[[#This Row],[Order Date]]</f>
        <v>4</v>
      </c>
      <c r="J46" s="19" t="str">
        <f>IF(COUNTIF(Table1[Customer Name],Table1[[#This Row],[Customer Name]])&gt;1,"Repeat","New")</f>
        <v>Repeat</v>
      </c>
      <c r="K46" s="3">
        <f>MONTH(Table1[[#This Row],[Order Date]])</f>
        <v>1</v>
      </c>
      <c r="L46" s="30"/>
      <c r="N46" s="33" t="s">
        <v>165</v>
      </c>
      <c r="O46" s="29"/>
      <c r="P46" s="29"/>
    </row>
    <row r="47" spans="1:16" x14ac:dyDescent="0.3">
      <c r="A47" s="12" t="s">
        <v>93</v>
      </c>
      <c r="B47" s="4">
        <v>45314</v>
      </c>
      <c r="C47" s="3" t="s">
        <v>47</v>
      </c>
      <c r="D47" s="4">
        <v>45317</v>
      </c>
      <c r="E47" s="3">
        <v>199.99</v>
      </c>
      <c r="F47" s="3">
        <v>1</v>
      </c>
      <c r="G47" s="3">
        <f t="shared" si="0"/>
        <v>999.95</v>
      </c>
      <c r="H47" s="14">
        <f t="shared" si="1"/>
        <v>1199.94</v>
      </c>
      <c r="I47" s="3">
        <f>Table1[[#This Row],[Ship Date]]-Table1[[#This Row],[Order Date]]</f>
        <v>3</v>
      </c>
      <c r="J47" s="19" t="str">
        <f>IF(COUNTIF(Table1[Customer Name],Table1[[#This Row],[Customer Name]])&gt;1,"Repeat","New")</f>
        <v>Repeat</v>
      </c>
      <c r="K47" s="3">
        <f>MONTH(Table1[[#This Row],[Order Date]])</f>
        <v>1</v>
      </c>
      <c r="L47" s="30"/>
      <c r="N47" s="25"/>
      <c r="O47" s="29"/>
      <c r="P47" s="29"/>
    </row>
    <row r="48" spans="1:16" x14ac:dyDescent="0.3">
      <c r="A48" s="12" t="s">
        <v>94</v>
      </c>
      <c r="B48" s="4">
        <v>45315</v>
      </c>
      <c r="C48" s="3" t="s">
        <v>95</v>
      </c>
      <c r="D48" s="4">
        <v>45316</v>
      </c>
      <c r="E48" s="3">
        <v>29.99</v>
      </c>
      <c r="F48" s="3">
        <v>5</v>
      </c>
      <c r="G48" s="3">
        <f t="shared" si="0"/>
        <v>749.75</v>
      </c>
      <c r="H48" s="14">
        <f t="shared" si="1"/>
        <v>899.7</v>
      </c>
      <c r="I48" s="3">
        <f>Table1[[#This Row],[Ship Date]]-Table1[[#This Row],[Order Date]]</f>
        <v>1</v>
      </c>
      <c r="J48" s="19" t="str">
        <f>IF(COUNTIF(Table1[Customer Name],Table1[[#This Row],[Customer Name]])&gt;1,"Repeat","New")</f>
        <v>Repeat</v>
      </c>
      <c r="K48" s="3">
        <f>MONTH(Table1[[#This Row],[Order Date]])</f>
        <v>1</v>
      </c>
      <c r="L48" s="30"/>
      <c r="N48" s="25" t="s">
        <v>166</v>
      </c>
      <c r="O48" s="24">
        <f>AVERAGE(Table1[Shipping Time])</f>
        <v>2.9</v>
      </c>
      <c r="P48" s="29"/>
    </row>
    <row r="49" spans="1:16" x14ac:dyDescent="0.3">
      <c r="A49" s="12" t="s">
        <v>96</v>
      </c>
      <c r="B49" s="4">
        <v>45315</v>
      </c>
      <c r="C49" s="3" t="s">
        <v>97</v>
      </c>
      <c r="D49" s="4">
        <v>45317</v>
      </c>
      <c r="E49" s="3">
        <v>79.989999999999995</v>
      </c>
      <c r="F49" s="3">
        <v>2</v>
      </c>
      <c r="G49" s="3">
        <f t="shared" si="0"/>
        <v>799.9</v>
      </c>
      <c r="H49" s="14">
        <f t="shared" si="1"/>
        <v>959.88</v>
      </c>
      <c r="I49" s="3">
        <f>Table1[[#This Row],[Ship Date]]-Table1[[#This Row],[Order Date]]</f>
        <v>2</v>
      </c>
      <c r="J49" s="19" t="str">
        <f>IF(COUNTIF(Table1[Customer Name],Table1[[#This Row],[Customer Name]])&gt;1,"Repeat","New")</f>
        <v>Repeat</v>
      </c>
      <c r="K49" s="3">
        <f>MONTH(Table1[[#This Row],[Order Date]])</f>
        <v>1</v>
      </c>
      <c r="L49" s="30"/>
      <c r="N49" s="25" t="s">
        <v>167</v>
      </c>
      <c r="O49" s="37">
        <f>COUNTIF(I2:I71,"&gt;=5")*100/COUNTA(I2:I71)</f>
        <v>17.142857142857142</v>
      </c>
      <c r="P49" s="29"/>
    </row>
    <row r="50" spans="1:16" x14ac:dyDescent="0.3">
      <c r="A50" s="12" t="s">
        <v>98</v>
      </c>
      <c r="B50" s="4">
        <v>45316</v>
      </c>
      <c r="C50" s="3" t="s">
        <v>99</v>
      </c>
      <c r="D50" s="4">
        <v>45321</v>
      </c>
      <c r="E50" s="3">
        <v>49.99</v>
      </c>
      <c r="F50" s="3">
        <v>3</v>
      </c>
      <c r="G50" s="3">
        <f t="shared" si="0"/>
        <v>749.85</v>
      </c>
      <c r="H50" s="14">
        <f t="shared" si="1"/>
        <v>899.82</v>
      </c>
      <c r="I50" s="3">
        <f>Table1[[#This Row],[Ship Date]]-Table1[[#This Row],[Order Date]]</f>
        <v>5</v>
      </c>
      <c r="J50" s="19" t="str">
        <f>IF(COUNTIF(Table1[Customer Name],Table1[[#This Row],[Customer Name]])&gt;1,"Repeat","New")</f>
        <v>Repeat</v>
      </c>
      <c r="K50" s="3">
        <f>MONTH(Table1[[#This Row],[Order Date]])</f>
        <v>1</v>
      </c>
      <c r="L50" s="30"/>
      <c r="N50" s="25" t="s">
        <v>168</v>
      </c>
      <c r="O50" s="24" t="s">
        <v>181</v>
      </c>
      <c r="P50" s="24" t="s">
        <v>185</v>
      </c>
    </row>
    <row r="51" spans="1:16" x14ac:dyDescent="0.3">
      <c r="A51" s="12" t="s">
        <v>100</v>
      </c>
      <c r="B51" s="4">
        <v>45316</v>
      </c>
      <c r="C51" s="3" t="s">
        <v>101</v>
      </c>
      <c r="D51" s="4">
        <v>45318</v>
      </c>
      <c r="E51" s="3">
        <v>129.99</v>
      </c>
      <c r="F51" s="3">
        <v>1</v>
      </c>
      <c r="G51" s="3">
        <f t="shared" si="0"/>
        <v>649.95000000000005</v>
      </c>
      <c r="H51" s="14">
        <f t="shared" si="1"/>
        <v>779.94</v>
      </c>
      <c r="I51" s="3">
        <f>Table1[[#This Row],[Ship Date]]-Table1[[#This Row],[Order Date]]</f>
        <v>2</v>
      </c>
      <c r="J51" s="19" t="str">
        <f>IF(COUNTIF(Table1[Customer Name],Table1[[#This Row],[Customer Name]])&gt;1,"Repeat","New")</f>
        <v>Repeat</v>
      </c>
      <c r="K51" s="3">
        <f>MONTH(Table1[[#This Row],[Order Date]])</f>
        <v>1</v>
      </c>
      <c r="L51" s="30"/>
      <c r="N51" s="29"/>
      <c r="O51" s="26" t="s">
        <v>54</v>
      </c>
      <c r="P51" s="27">
        <v>5</v>
      </c>
    </row>
    <row r="52" spans="1:16" x14ac:dyDescent="0.3">
      <c r="A52" s="12" t="s">
        <v>102</v>
      </c>
      <c r="B52" s="4">
        <v>45317</v>
      </c>
      <c r="C52" s="3" t="s">
        <v>103</v>
      </c>
      <c r="D52" s="4">
        <v>45320</v>
      </c>
      <c r="E52" s="3">
        <v>19.989999999999998</v>
      </c>
      <c r="F52" s="3">
        <v>4</v>
      </c>
      <c r="G52" s="3">
        <f t="shared" si="0"/>
        <v>399.79999999999995</v>
      </c>
      <c r="H52" s="14">
        <f t="shared" si="1"/>
        <v>479.75999999999993</v>
      </c>
      <c r="I52" s="3">
        <f>Table1[[#This Row],[Ship Date]]-Table1[[#This Row],[Order Date]]</f>
        <v>3</v>
      </c>
      <c r="J52" s="19" t="str">
        <f>IF(COUNTIF(Table1[Customer Name],Table1[[#This Row],[Customer Name]])&gt;1,"Repeat","New")</f>
        <v>Repeat</v>
      </c>
      <c r="K52" s="3">
        <f>MONTH(Table1[[#This Row],[Order Date]])</f>
        <v>1</v>
      </c>
      <c r="L52" s="30"/>
      <c r="N52" s="29"/>
      <c r="O52" s="26" t="s">
        <v>98</v>
      </c>
      <c r="P52" s="27">
        <v>5</v>
      </c>
    </row>
    <row r="53" spans="1:16" x14ac:dyDescent="0.3">
      <c r="A53" s="12" t="s">
        <v>104</v>
      </c>
      <c r="B53" s="4">
        <v>45317</v>
      </c>
      <c r="C53" s="3" t="s">
        <v>105</v>
      </c>
      <c r="D53" s="4">
        <v>45319</v>
      </c>
      <c r="E53" s="3">
        <v>149.99</v>
      </c>
      <c r="F53" s="3">
        <v>1</v>
      </c>
      <c r="G53" s="3">
        <f t="shared" si="0"/>
        <v>749.95</v>
      </c>
      <c r="H53" s="14">
        <f t="shared" si="1"/>
        <v>899.94</v>
      </c>
      <c r="I53" s="3">
        <f>Table1[[#This Row],[Ship Date]]-Table1[[#This Row],[Order Date]]</f>
        <v>2</v>
      </c>
      <c r="J53" s="19" t="str">
        <f>IF(COUNTIF(Table1[Customer Name],Table1[[#This Row],[Customer Name]])&gt;1,"Repeat","New")</f>
        <v>Repeat</v>
      </c>
      <c r="K53" s="3">
        <f>MONTH(Table1[[#This Row],[Order Date]])</f>
        <v>1</v>
      </c>
      <c r="L53" s="30"/>
      <c r="N53" s="29"/>
      <c r="O53" s="26" t="s">
        <v>75</v>
      </c>
      <c r="P53" s="27">
        <v>5</v>
      </c>
    </row>
    <row r="54" spans="1:16" x14ac:dyDescent="0.3">
      <c r="A54" s="12" t="s">
        <v>106</v>
      </c>
      <c r="B54" s="4">
        <v>45318</v>
      </c>
      <c r="C54" s="3" t="s">
        <v>107</v>
      </c>
      <c r="D54" s="4">
        <v>45322</v>
      </c>
      <c r="E54" s="3">
        <v>69.989999999999995</v>
      </c>
      <c r="F54" s="3">
        <v>2</v>
      </c>
      <c r="G54" s="3">
        <f t="shared" si="0"/>
        <v>699.9</v>
      </c>
      <c r="H54" s="14">
        <f t="shared" si="1"/>
        <v>839.88</v>
      </c>
      <c r="I54" s="3">
        <f>Table1[[#This Row],[Ship Date]]-Table1[[#This Row],[Order Date]]</f>
        <v>4</v>
      </c>
      <c r="J54" s="19" t="str">
        <f>IF(COUNTIF(Table1[Customer Name],Table1[[#This Row],[Customer Name]])&gt;1,"Repeat","New")</f>
        <v>Repeat</v>
      </c>
      <c r="K54" s="3">
        <f>MONTH(Table1[[#This Row],[Order Date]])</f>
        <v>1</v>
      </c>
      <c r="L54" s="30"/>
      <c r="N54" s="29"/>
      <c r="O54" s="26" t="s">
        <v>16</v>
      </c>
      <c r="P54" s="27">
        <v>5</v>
      </c>
    </row>
    <row r="55" spans="1:16" x14ac:dyDescent="0.3">
      <c r="A55" s="12" t="s">
        <v>108</v>
      </c>
      <c r="B55" s="4">
        <v>45318</v>
      </c>
      <c r="C55" s="3" t="s">
        <v>109</v>
      </c>
      <c r="D55" s="4">
        <v>45322</v>
      </c>
      <c r="E55" s="3">
        <v>39.99</v>
      </c>
      <c r="F55" s="3">
        <v>3</v>
      </c>
      <c r="G55" s="3">
        <f t="shared" si="0"/>
        <v>599.85</v>
      </c>
      <c r="H55" s="14">
        <f t="shared" si="1"/>
        <v>719.82</v>
      </c>
      <c r="I55" s="3">
        <f>Table1[[#This Row],[Ship Date]]-Table1[[#This Row],[Order Date]]</f>
        <v>4</v>
      </c>
      <c r="J55" s="19" t="str">
        <f>IF(COUNTIF(Table1[Customer Name],Table1[[#This Row],[Customer Name]])&gt;1,"Repeat","New")</f>
        <v>Repeat</v>
      </c>
      <c r="K55" s="3">
        <f>MONTH(Table1[[#This Row],[Order Date]])</f>
        <v>1</v>
      </c>
      <c r="L55" s="30"/>
      <c r="N55" s="29"/>
      <c r="O55" s="26" t="s">
        <v>52</v>
      </c>
      <c r="P55" s="27">
        <v>5</v>
      </c>
    </row>
    <row r="56" spans="1:16" x14ac:dyDescent="0.3">
      <c r="A56" s="12" t="s">
        <v>110</v>
      </c>
      <c r="B56" s="4">
        <v>45319</v>
      </c>
      <c r="C56" s="3" t="s">
        <v>111</v>
      </c>
      <c r="D56" s="4">
        <v>45320</v>
      </c>
      <c r="E56" s="3">
        <v>199.99</v>
      </c>
      <c r="F56" s="3">
        <v>1</v>
      </c>
      <c r="G56" s="3">
        <f t="shared" si="0"/>
        <v>999.95</v>
      </c>
      <c r="H56" s="14">
        <f t="shared" si="1"/>
        <v>1199.94</v>
      </c>
      <c r="I56" s="3">
        <f>Table1[[#This Row],[Ship Date]]-Table1[[#This Row],[Order Date]]</f>
        <v>1</v>
      </c>
      <c r="J56" s="19" t="str">
        <f>IF(COUNTIF(Table1[Customer Name],Table1[[#This Row],[Customer Name]])&gt;1,"Repeat","New")</f>
        <v>New</v>
      </c>
      <c r="K56" s="3">
        <f>MONTH(Table1[[#This Row],[Order Date]])</f>
        <v>1</v>
      </c>
      <c r="L56" s="30"/>
      <c r="N56" s="29"/>
      <c r="O56" s="26" t="s">
        <v>22</v>
      </c>
      <c r="P56" s="27">
        <v>5</v>
      </c>
    </row>
    <row r="57" spans="1:16" x14ac:dyDescent="0.3">
      <c r="A57" s="12" t="s">
        <v>112</v>
      </c>
      <c r="B57" s="4">
        <v>45319</v>
      </c>
      <c r="C57" s="3" t="s">
        <v>113</v>
      </c>
      <c r="D57" s="4">
        <v>45320</v>
      </c>
      <c r="E57" s="3">
        <v>29.99</v>
      </c>
      <c r="F57" s="3">
        <v>5</v>
      </c>
      <c r="G57" s="3">
        <f t="shared" si="0"/>
        <v>749.75</v>
      </c>
      <c r="H57" s="14">
        <f t="shared" si="1"/>
        <v>899.7</v>
      </c>
      <c r="I57" s="3">
        <f>Table1[[#This Row],[Ship Date]]-Table1[[#This Row],[Order Date]]</f>
        <v>1</v>
      </c>
      <c r="J57" s="19" t="str">
        <f>IF(COUNTIF(Table1[Customer Name],Table1[[#This Row],[Customer Name]])&gt;1,"Repeat","New")</f>
        <v>New</v>
      </c>
      <c r="K57" s="3">
        <f>MONTH(Table1[[#This Row],[Order Date]])</f>
        <v>1</v>
      </c>
      <c r="L57" s="30"/>
      <c r="N57" s="29"/>
      <c r="O57" s="26" t="s">
        <v>61</v>
      </c>
      <c r="P57" s="27">
        <v>5</v>
      </c>
    </row>
    <row r="58" spans="1:16" x14ac:dyDescent="0.3">
      <c r="A58" s="12" t="s">
        <v>114</v>
      </c>
      <c r="B58" s="4">
        <v>45320</v>
      </c>
      <c r="C58" s="3" t="s">
        <v>115</v>
      </c>
      <c r="D58" s="4">
        <v>45321</v>
      </c>
      <c r="E58" s="3">
        <v>79.989999999999995</v>
      </c>
      <c r="F58" s="3">
        <v>2</v>
      </c>
      <c r="G58" s="3">
        <f t="shared" si="0"/>
        <v>799.9</v>
      </c>
      <c r="H58" s="14">
        <f t="shared" si="1"/>
        <v>959.88</v>
      </c>
      <c r="I58" s="3">
        <f>Table1[[#This Row],[Ship Date]]-Table1[[#This Row],[Order Date]]</f>
        <v>1</v>
      </c>
      <c r="J58" s="19" t="str">
        <f>IF(COUNTIF(Table1[Customer Name],Table1[[#This Row],[Customer Name]])&gt;1,"Repeat","New")</f>
        <v>New</v>
      </c>
      <c r="K58" s="3">
        <f>MONTH(Table1[[#This Row],[Order Date]])</f>
        <v>1</v>
      </c>
      <c r="L58" s="30"/>
      <c r="N58" s="29"/>
      <c r="O58" s="26" t="s">
        <v>34</v>
      </c>
      <c r="P58" s="27">
        <v>5</v>
      </c>
    </row>
    <row r="59" spans="1:16" x14ac:dyDescent="0.3">
      <c r="A59" s="12" t="s">
        <v>116</v>
      </c>
      <c r="B59" s="4">
        <v>45320</v>
      </c>
      <c r="C59" s="3" t="s">
        <v>87</v>
      </c>
      <c r="D59" s="4">
        <v>45322</v>
      </c>
      <c r="E59" s="3">
        <v>49.99</v>
      </c>
      <c r="F59" s="3">
        <v>3</v>
      </c>
      <c r="G59" s="3">
        <f t="shared" si="0"/>
        <v>749.85</v>
      </c>
      <c r="H59" s="14">
        <f t="shared" si="1"/>
        <v>899.82</v>
      </c>
      <c r="I59" s="3">
        <f>Table1[[#This Row],[Ship Date]]-Table1[[#This Row],[Order Date]]</f>
        <v>2</v>
      </c>
      <c r="J59" s="19" t="str">
        <f>IF(COUNTIF(Table1[Customer Name],Table1[[#This Row],[Customer Name]])&gt;1,"Repeat","New")</f>
        <v>Repeat</v>
      </c>
      <c r="K59" s="3">
        <f>MONTH(Table1[[#This Row],[Order Date]])</f>
        <v>1</v>
      </c>
      <c r="L59" s="30"/>
      <c r="N59" s="29"/>
      <c r="O59" s="26" t="s">
        <v>85</v>
      </c>
      <c r="P59" s="27">
        <v>5</v>
      </c>
    </row>
    <row r="60" spans="1:16" x14ac:dyDescent="0.3">
      <c r="A60" s="12" t="s">
        <v>117</v>
      </c>
      <c r="B60" s="4">
        <v>45321</v>
      </c>
      <c r="C60" s="3" t="s">
        <v>89</v>
      </c>
      <c r="D60" s="4">
        <v>45322</v>
      </c>
      <c r="E60" s="3">
        <v>129.99</v>
      </c>
      <c r="F60" s="3">
        <v>1</v>
      </c>
      <c r="G60" s="3">
        <f t="shared" si="0"/>
        <v>649.95000000000005</v>
      </c>
      <c r="H60" s="14">
        <f t="shared" si="1"/>
        <v>779.94</v>
      </c>
      <c r="I60" s="3">
        <f>Table1[[#This Row],[Ship Date]]-Table1[[#This Row],[Order Date]]</f>
        <v>1</v>
      </c>
      <c r="J60" s="19" t="str">
        <f>IF(COUNTIF(Table1[Customer Name],Table1[[#This Row],[Customer Name]])&gt;1,"Repeat","New")</f>
        <v>Repeat</v>
      </c>
      <c r="K60" s="3">
        <f>MONTH(Table1[[#This Row],[Order Date]])</f>
        <v>1</v>
      </c>
      <c r="L60" s="30"/>
      <c r="N60" s="29"/>
      <c r="O60" s="26" t="s">
        <v>36</v>
      </c>
      <c r="P60" s="27">
        <v>5</v>
      </c>
    </row>
    <row r="61" spans="1:16" x14ac:dyDescent="0.3">
      <c r="A61" s="12" t="s">
        <v>118</v>
      </c>
      <c r="B61" s="4">
        <v>45321</v>
      </c>
      <c r="C61" s="3" t="s">
        <v>15</v>
      </c>
      <c r="D61" s="4">
        <v>45323</v>
      </c>
      <c r="E61" s="3">
        <v>19.989999999999998</v>
      </c>
      <c r="F61" s="3">
        <v>4</v>
      </c>
      <c r="G61" s="3">
        <f t="shared" si="0"/>
        <v>399.79999999999995</v>
      </c>
      <c r="H61" s="14">
        <f t="shared" si="1"/>
        <v>479.75999999999993</v>
      </c>
      <c r="I61" s="3">
        <f>Table1[[#This Row],[Ship Date]]-Table1[[#This Row],[Order Date]]</f>
        <v>2</v>
      </c>
      <c r="J61" s="19" t="str">
        <f>IF(COUNTIF(Table1[Customer Name],Table1[[#This Row],[Customer Name]])&gt;1,"Repeat","New")</f>
        <v>Repeat</v>
      </c>
      <c r="K61" s="3">
        <f>MONTH(Table1[[#This Row],[Order Date]])</f>
        <v>1</v>
      </c>
      <c r="L61" s="30"/>
      <c r="N61" s="29"/>
      <c r="O61" s="26" t="s">
        <v>12</v>
      </c>
      <c r="P61" s="27">
        <v>5</v>
      </c>
    </row>
    <row r="62" spans="1:16" x14ac:dyDescent="0.3">
      <c r="A62" s="12" t="s">
        <v>119</v>
      </c>
      <c r="B62" s="4">
        <v>45322</v>
      </c>
      <c r="C62" s="3" t="s">
        <v>92</v>
      </c>
      <c r="D62" s="4">
        <v>45324</v>
      </c>
      <c r="E62" s="3">
        <v>149.99</v>
      </c>
      <c r="F62" s="3">
        <v>1</v>
      </c>
      <c r="G62" s="3">
        <f t="shared" si="0"/>
        <v>749.95</v>
      </c>
      <c r="H62" s="14">
        <f t="shared" si="1"/>
        <v>899.94</v>
      </c>
      <c r="I62" s="3">
        <f>Table1[[#This Row],[Ship Date]]-Table1[[#This Row],[Order Date]]</f>
        <v>2</v>
      </c>
      <c r="J62" s="19" t="str">
        <f>IF(COUNTIF(Table1[Customer Name],Table1[[#This Row],[Customer Name]])&gt;1,"Repeat","New")</f>
        <v>Repeat</v>
      </c>
      <c r="K62" s="3">
        <f>MONTH(Table1[[#This Row],[Order Date]])</f>
        <v>1</v>
      </c>
      <c r="L62" s="30"/>
      <c r="N62" s="29"/>
      <c r="O62" s="26" t="s">
        <v>40</v>
      </c>
      <c r="P62" s="27">
        <v>5</v>
      </c>
    </row>
    <row r="63" spans="1:16" x14ac:dyDescent="0.3">
      <c r="A63" s="12" t="s">
        <v>120</v>
      </c>
      <c r="B63" s="4">
        <v>45322</v>
      </c>
      <c r="C63" s="3" t="s">
        <v>47</v>
      </c>
      <c r="D63" s="4">
        <v>45326</v>
      </c>
      <c r="E63" s="3">
        <v>69.989999999999995</v>
      </c>
      <c r="F63" s="3">
        <v>2</v>
      </c>
      <c r="G63" s="3">
        <f t="shared" si="0"/>
        <v>699.9</v>
      </c>
      <c r="H63" s="14">
        <f t="shared" si="1"/>
        <v>839.88</v>
      </c>
      <c r="I63" s="3">
        <f>Table1[[#This Row],[Ship Date]]-Table1[[#This Row],[Order Date]]</f>
        <v>4</v>
      </c>
      <c r="J63" s="19" t="str">
        <f>IF(COUNTIF(Table1[Customer Name],Table1[[#This Row],[Customer Name]])&gt;1,"Repeat","New")</f>
        <v>Repeat</v>
      </c>
      <c r="K63" s="3">
        <f>MONTH(Table1[[#This Row],[Order Date]])</f>
        <v>1</v>
      </c>
      <c r="L63" s="30"/>
      <c r="N63" s="29"/>
      <c r="O63" s="26" t="s">
        <v>180</v>
      </c>
      <c r="P63" s="27">
        <v>60</v>
      </c>
    </row>
    <row r="64" spans="1:16" x14ac:dyDescent="0.3">
      <c r="A64" s="12" t="s">
        <v>121</v>
      </c>
      <c r="B64" s="4">
        <v>45323</v>
      </c>
      <c r="C64" s="3" t="s">
        <v>95</v>
      </c>
      <c r="D64" s="4">
        <v>45324</v>
      </c>
      <c r="E64" s="3">
        <v>39.99</v>
      </c>
      <c r="F64" s="3">
        <v>3</v>
      </c>
      <c r="G64" s="3">
        <f t="shared" si="0"/>
        <v>599.85</v>
      </c>
      <c r="H64" s="14">
        <f t="shared" si="1"/>
        <v>719.82</v>
      </c>
      <c r="I64" s="3">
        <f>Table1[[#This Row],[Ship Date]]-Table1[[#This Row],[Order Date]]</f>
        <v>1</v>
      </c>
      <c r="J64" s="19" t="str">
        <f>IF(COUNTIF(Table1[Customer Name],Table1[[#This Row],[Customer Name]])&gt;1,"Repeat","New")</f>
        <v>Repeat</v>
      </c>
      <c r="K64" s="3">
        <f>MONTH(Table1[[#This Row],[Order Date]])</f>
        <v>2</v>
      </c>
      <c r="L64" s="30"/>
    </row>
    <row r="65" spans="1:12" x14ac:dyDescent="0.3">
      <c r="A65" s="12" t="s">
        <v>122</v>
      </c>
      <c r="B65" s="4">
        <v>45323</v>
      </c>
      <c r="C65" s="3" t="s">
        <v>97</v>
      </c>
      <c r="D65" s="4">
        <v>45327</v>
      </c>
      <c r="E65" s="3">
        <v>199.99</v>
      </c>
      <c r="F65" s="3">
        <v>1</v>
      </c>
      <c r="G65" s="3">
        <f t="shared" si="0"/>
        <v>999.95</v>
      </c>
      <c r="H65" s="14">
        <f t="shared" si="1"/>
        <v>1199.94</v>
      </c>
      <c r="I65" s="3">
        <f>Table1[[#This Row],[Ship Date]]-Table1[[#This Row],[Order Date]]</f>
        <v>4</v>
      </c>
      <c r="J65" s="19" t="str">
        <f>IF(COUNTIF(Table1[Customer Name],Table1[[#This Row],[Customer Name]])&gt;1,"Repeat","New")</f>
        <v>Repeat</v>
      </c>
      <c r="K65" s="3">
        <f>MONTH(Table1[[#This Row],[Order Date]])</f>
        <v>2</v>
      </c>
      <c r="L65" s="30"/>
    </row>
    <row r="66" spans="1:12" x14ac:dyDescent="0.3">
      <c r="A66" s="12" t="s">
        <v>123</v>
      </c>
      <c r="B66" s="4">
        <v>45323</v>
      </c>
      <c r="C66" s="3" t="s">
        <v>99</v>
      </c>
      <c r="D66" s="4">
        <v>45325</v>
      </c>
      <c r="E66" s="3">
        <v>29.99</v>
      </c>
      <c r="F66" s="3">
        <v>5</v>
      </c>
      <c r="G66" s="3">
        <f t="shared" si="0"/>
        <v>749.75</v>
      </c>
      <c r="H66" s="14">
        <f t="shared" si="1"/>
        <v>899.7</v>
      </c>
      <c r="I66" s="3">
        <f>Table1[[#This Row],[Ship Date]]-Table1[[#This Row],[Order Date]]</f>
        <v>2</v>
      </c>
      <c r="J66" s="19" t="str">
        <f>IF(COUNTIF(Table1[Customer Name],Table1[[#This Row],[Customer Name]])&gt;1,"Repeat","New")</f>
        <v>Repeat</v>
      </c>
      <c r="K66" s="3">
        <f>MONTH(Table1[[#This Row],[Order Date]])</f>
        <v>2</v>
      </c>
      <c r="L66" s="30"/>
    </row>
    <row r="67" spans="1:12" x14ac:dyDescent="0.3">
      <c r="A67" s="12" t="s">
        <v>124</v>
      </c>
      <c r="B67" s="4">
        <v>45324</v>
      </c>
      <c r="C67" s="3" t="s">
        <v>101</v>
      </c>
      <c r="D67" s="4">
        <v>45328</v>
      </c>
      <c r="E67" s="3">
        <v>79.989999999999995</v>
      </c>
      <c r="F67" s="3">
        <v>2</v>
      </c>
      <c r="G67" s="3">
        <f t="shared" ref="G67:G71" si="2">E67*F67*$I$6</f>
        <v>799.9</v>
      </c>
      <c r="H67" s="14">
        <f t="shared" ref="H67:H71" si="3">E67*F67+G67</f>
        <v>959.88</v>
      </c>
      <c r="I67" s="3">
        <f>Table1[[#This Row],[Ship Date]]-Table1[[#This Row],[Order Date]]</f>
        <v>4</v>
      </c>
      <c r="J67" s="19" t="str">
        <f>IF(COUNTIF(Table1[Customer Name],Table1[[#This Row],[Customer Name]])&gt;1,"Repeat","New")</f>
        <v>Repeat</v>
      </c>
      <c r="K67" s="3">
        <f>MONTH(Table1[[#This Row],[Order Date]])</f>
        <v>2</v>
      </c>
      <c r="L67" s="30"/>
    </row>
    <row r="68" spans="1:12" x14ac:dyDescent="0.3">
      <c r="A68" s="12" t="s">
        <v>125</v>
      </c>
      <c r="B68" s="4">
        <v>45325</v>
      </c>
      <c r="C68" s="3" t="s">
        <v>103</v>
      </c>
      <c r="D68" s="4">
        <v>45328</v>
      </c>
      <c r="E68" s="3">
        <v>49.99</v>
      </c>
      <c r="F68" s="3">
        <v>3</v>
      </c>
      <c r="G68" s="3">
        <f t="shared" si="2"/>
        <v>749.85</v>
      </c>
      <c r="H68" s="14">
        <f t="shared" si="3"/>
        <v>899.82</v>
      </c>
      <c r="I68" s="3">
        <f>Table1[[#This Row],[Ship Date]]-Table1[[#This Row],[Order Date]]</f>
        <v>3</v>
      </c>
      <c r="J68" s="19" t="str">
        <f>IF(COUNTIF(Table1[Customer Name],Table1[[#This Row],[Customer Name]])&gt;1,"Repeat","New")</f>
        <v>Repeat</v>
      </c>
      <c r="K68" s="3">
        <f>MONTH(Table1[[#This Row],[Order Date]])</f>
        <v>2</v>
      </c>
      <c r="L68" s="30"/>
    </row>
    <row r="69" spans="1:12" x14ac:dyDescent="0.3">
      <c r="A69" s="12" t="s">
        <v>126</v>
      </c>
      <c r="B69" s="4">
        <v>45326</v>
      </c>
      <c r="C69" s="3" t="s">
        <v>105</v>
      </c>
      <c r="D69" s="4">
        <v>45327</v>
      </c>
      <c r="E69" s="3">
        <v>129.99</v>
      </c>
      <c r="F69" s="3">
        <v>1</v>
      </c>
      <c r="G69" s="3">
        <f t="shared" si="2"/>
        <v>649.95000000000005</v>
      </c>
      <c r="H69" s="14">
        <f t="shared" si="3"/>
        <v>779.94</v>
      </c>
      <c r="I69" s="3">
        <f>Table1[[#This Row],[Ship Date]]-Table1[[#This Row],[Order Date]]</f>
        <v>1</v>
      </c>
      <c r="J69" s="19" t="str">
        <f>IF(COUNTIF(Table1[Customer Name],Table1[[#This Row],[Customer Name]])&gt;1,"Repeat","New")</f>
        <v>Repeat</v>
      </c>
      <c r="K69" s="3">
        <f>MONTH(Table1[[#This Row],[Order Date]])</f>
        <v>2</v>
      </c>
      <c r="L69" s="30"/>
    </row>
    <row r="70" spans="1:12" x14ac:dyDescent="0.3">
      <c r="A70" s="12" t="s">
        <v>127</v>
      </c>
      <c r="B70" s="4">
        <v>45326</v>
      </c>
      <c r="C70" s="3" t="s">
        <v>107</v>
      </c>
      <c r="D70" s="4">
        <v>45330</v>
      </c>
      <c r="E70" s="3">
        <v>19.989999999999998</v>
      </c>
      <c r="F70" s="3">
        <v>4</v>
      </c>
      <c r="G70" s="3">
        <f t="shared" si="2"/>
        <v>399.79999999999995</v>
      </c>
      <c r="H70" s="14">
        <f t="shared" si="3"/>
        <v>479.75999999999993</v>
      </c>
      <c r="I70" s="3">
        <f>Table1[[#This Row],[Ship Date]]-Table1[[#This Row],[Order Date]]</f>
        <v>4</v>
      </c>
      <c r="J70" s="19" t="str">
        <f>IF(COUNTIF(Table1[Customer Name],Table1[[#This Row],[Customer Name]])&gt;1,"Repeat","New")</f>
        <v>Repeat</v>
      </c>
      <c r="K70" s="3">
        <f>MONTH(Table1[[#This Row],[Order Date]])</f>
        <v>2</v>
      </c>
      <c r="L70" s="30"/>
    </row>
    <row r="71" spans="1:12" x14ac:dyDescent="0.3">
      <c r="A71" s="15" t="s">
        <v>128</v>
      </c>
      <c r="B71" s="16">
        <v>45326</v>
      </c>
      <c r="C71" s="17" t="s">
        <v>109</v>
      </c>
      <c r="D71" s="16">
        <v>45329</v>
      </c>
      <c r="E71" s="17">
        <v>149.99</v>
      </c>
      <c r="F71" s="17">
        <v>1</v>
      </c>
      <c r="G71" s="17">
        <f t="shared" si="2"/>
        <v>749.95</v>
      </c>
      <c r="H71" s="18">
        <f t="shared" si="3"/>
        <v>899.94</v>
      </c>
      <c r="I71" s="17">
        <f>Table1[[#This Row],[Ship Date]]-Table1[[#This Row],[Order Date]]</f>
        <v>3</v>
      </c>
      <c r="J71" s="19" t="str">
        <f>IF(COUNTIF(Table1[Customer Name],Table1[[#This Row],[Customer Name]])&gt;1,"Repeat","New")</f>
        <v>Repeat</v>
      </c>
      <c r="K71" s="17">
        <f>MONTH(Table1[[#This Row],[Order Date]])</f>
        <v>2</v>
      </c>
      <c r="L71" s="30"/>
    </row>
  </sheetData>
  <pageMargins left="0.7" right="0.7" top="0.75" bottom="0.75" header="0.3" footer="0.3"/>
  <pageSetup orientation="portrait" r:id="rId6"/>
  <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 Sales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Akshay Kadambande</cp:lastModifiedBy>
  <dcterms:created xsi:type="dcterms:W3CDTF">2024-02-19T11:17:54Z</dcterms:created>
  <dcterms:modified xsi:type="dcterms:W3CDTF">2026-10-06T08:25:43Z</dcterms:modified>
</cp:coreProperties>
</file>