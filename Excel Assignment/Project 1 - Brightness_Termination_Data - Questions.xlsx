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kshay\Data Analytics\Batch 147 - DAY 05 - 23 MAY 2026\Assignment\"/>
    </mc:Choice>
  </mc:AlternateContent>
  <xr:revisionPtr revIDLastSave="0" documentId="13_ncr:1_{A850B797-A890-4874-82A2-A68C752126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Data!$A$1:$Q$1486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2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40" i="2"/>
  <c r="C4" i="2"/>
  <c r="C13" i="2" s="1"/>
  <c r="C29" i="2" s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4" i="2" l="1"/>
  <c r="C20" i="2"/>
  <c r="C16" i="2"/>
  <c r="C23" i="2"/>
  <c r="C19" i="2"/>
  <c r="C15" i="2"/>
  <c r="C8" i="2"/>
  <c r="C22" i="2"/>
  <c r="C18" i="2"/>
  <c r="C14" i="2"/>
  <c r="C12" i="2"/>
  <c r="C21" i="2"/>
  <c r="C17" i="2"/>
</calcChain>
</file>

<file path=xl/sharedStrings.xml><?xml version="1.0" encoding="utf-8"?>
<sst xmlns="http://schemas.openxmlformats.org/spreadsheetml/2006/main" count="10471" uniqueCount="168">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</sst>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86"/>
  <sheetViews>
    <sheetView topLeftCell="A4" workbookViewId="0">
      <selection activeCell="E2" sqref="E2:E1486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6" max="16" width="15.88671875" bestFit="1" customWidth="1"/>
    <col min="17" max="17" width="14.77734375" customWidth="1"/>
    <col min="18" max="18" width="12" bestFit="1" customWidth="1"/>
  </cols>
  <sheetData>
    <row r="1" spans="1:17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7" ht="15" thickBot="1" x14ac:dyDescent="0.35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_xlfn.IFS(D2&lt;=5,"Newcomer",D2&lt;=10,"Proficient",D2&gt;10,"Expert")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IF(OR(L2="Retirement", L2="Resignation"),"Voluntary","Involuntary")</f>
        <v>Voluntary</v>
      </c>
      <c r="N2" s="4" t="s">
        <v>20</v>
      </c>
    </row>
    <row r="3" spans="1:17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_xlfn.IFS(D3&lt;=5,"Newcomer",D3&lt;=10,"Proficient",D3&gt;10,"Expert")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2">IF(OR(L3="Retirement", L3="Resignation"),"Voluntary","Involuntary")</f>
        <v>Voluntary</v>
      </c>
      <c r="N3" s="4" t="s">
        <v>26</v>
      </c>
      <c r="P3" s="15" t="s">
        <v>131</v>
      </c>
      <c r="Q3" s="16" t="s">
        <v>132</v>
      </c>
    </row>
    <row r="4" spans="1:17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2"/>
        <v>Voluntary</v>
      </c>
      <c r="N4" s="4" t="s">
        <v>26</v>
      </c>
      <c r="P4" s="4" t="s">
        <v>19</v>
      </c>
      <c r="Q4" s="13">
        <v>392</v>
      </c>
    </row>
    <row r="5" spans="1:17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  <c r="P5" s="4" t="s">
        <v>50</v>
      </c>
      <c r="Q5" s="13">
        <v>385</v>
      </c>
    </row>
    <row r="6" spans="1:17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  <c r="P6" s="4" t="s">
        <v>96</v>
      </c>
      <c r="Q6" s="13">
        <v>708</v>
      </c>
    </row>
    <row r="7" spans="1:17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</row>
    <row r="8" spans="1:17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7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7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7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7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7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>
        <f t="shared" si="1"/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7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7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7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>
        <f t="shared" si="1"/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>
        <f t="shared" si="1"/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>
        <f t="shared" si="1"/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>
        <f t="shared" si="1"/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>
        <f t="shared" si="1"/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>
        <f t="shared" si="1"/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>
        <f t="shared" si="1"/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>
        <f t="shared" ref="E67:E130" si="4">_xlfn.IFS(D67&lt;=5,"Newcomer",D67&lt;=10,"Proficient",D67&gt;10,"Expert")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ref="M67:M130" si="5">IF(OR(L67="Retirement", L67="Resignation"),"Voluntary","Involuntary")</f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>
        <f t="shared" si="4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5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>
        <f t="shared" si="4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5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>
        <f t="shared" si="4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5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>
        <f t="shared" si="4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5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>
        <f t="shared" si="4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5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>
        <f t="shared" si="4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5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>
        <f t="shared" si="4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5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>
        <f t="shared" si="4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5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>
        <f t="shared" si="4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5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>
        <f t="shared" si="4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5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>
        <f t="shared" si="4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5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>
        <f t="shared" si="4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5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>
        <f t="shared" si="4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5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>
        <f t="shared" si="4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5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>
        <f t="shared" si="4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5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>
        <f t="shared" si="4"/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5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>
        <f t="shared" si="4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5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>
        <f t="shared" si="4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5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>
        <f t="shared" si="4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5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>
        <f t="shared" si="4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5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>
        <f t="shared" si="4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5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>
        <f t="shared" si="4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5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>
        <f t="shared" si="4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5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>
        <f t="shared" si="4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5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>
        <f t="shared" si="4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5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>
        <f t="shared" si="4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5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>
        <f t="shared" si="4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5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>
        <f t="shared" si="4"/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5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>
        <f t="shared" si="4"/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5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>
        <f t="shared" si="4"/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5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>
        <f t="shared" si="4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5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>
        <f t="shared" si="4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5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>
        <f t="shared" si="4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5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>
        <f t="shared" si="4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5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>
        <f t="shared" si="4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5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>
        <f t="shared" si="4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5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>
        <f t="shared" si="4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5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>
        <f t="shared" si="4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5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>
        <f t="shared" si="4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5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>
        <f t="shared" si="4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5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>
        <f t="shared" si="4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5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>
        <f t="shared" si="4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5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>
        <f t="shared" si="4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5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>
        <f t="shared" si="4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5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>
        <f t="shared" si="4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5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>
        <f t="shared" si="4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5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>
        <f t="shared" si="4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5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>
        <f t="shared" si="4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5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>
        <f t="shared" si="4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5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>
        <f t="shared" si="4"/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5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>
        <f t="shared" si="4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5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>
        <f t="shared" si="4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5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>
        <f t="shared" si="4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5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>
        <f t="shared" si="4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5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>
        <f t="shared" si="4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5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>
        <f t="shared" si="4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5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>
        <f t="shared" si="4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5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>
        <f t="shared" si="4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5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>
        <f t="shared" si="4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5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>
        <f t="shared" si="4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5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>
        <f t="shared" si="4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5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>
        <f t="shared" si="4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5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>
        <f t="shared" si="4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5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6" t="str">
        <f t="shared" ref="E131:E194" si="7">_xlfn.IFS(D131&lt;=5,"Newcomer",D131&lt;=10,"Proficient",D131&gt;10,"Expert")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ref="M131:M194" si="8">IF(OR(L131="Retirement", L131="Resignation"),"Voluntary","Involuntary")</f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6"/>
        <v>5</v>
      </c>
      <c r="E132" s="6" t="str">
        <f t="shared" si="7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8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6"/>
        <v>15</v>
      </c>
      <c r="E133" s="6" t="str">
        <f t="shared" si="7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8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6"/>
        <v>5</v>
      </c>
      <c r="E134" s="6" t="str">
        <f t="shared" si="7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8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6"/>
        <v>19</v>
      </c>
      <c r="E135" s="6" t="str">
        <f t="shared" si="7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8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6"/>
        <v>8</v>
      </c>
      <c r="E136" s="6" t="str">
        <f t="shared" si="7"/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8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6"/>
        <v>6</v>
      </c>
      <c r="E137" s="6" t="str">
        <f t="shared" si="7"/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8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6"/>
        <v>26</v>
      </c>
      <c r="E138" s="6" t="str">
        <f t="shared" si="7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8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6"/>
        <v>21</v>
      </c>
      <c r="E139" s="6" t="str">
        <f t="shared" si="7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8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6"/>
        <v>11</v>
      </c>
      <c r="E140" s="6" t="str">
        <f t="shared" si="7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8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6"/>
        <v>16</v>
      </c>
      <c r="E141" s="6" t="str">
        <f t="shared" si="7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8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6"/>
        <v>21</v>
      </c>
      <c r="E142" s="6" t="str">
        <f t="shared" si="7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8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6"/>
        <v>12</v>
      </c>
      <c r="E143" s="6" t="str">
        <f t="shared" si="7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8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6"/>
        <v>22</v>
      </c>
      <c r="E144" s="6" t="str">
        <f t="shared" si="7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8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6"/>
        <v>30</v>
      </c>
      <c r="E145" s="6" t="str">
        <f t="shared" si="7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8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6"/>
        <v>13</v>
      </c>
      <c r="E146" s="6" t="str">
        <f t="shared" si="7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8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6"/>
        <v>30</v>
      </c>
      <c r="E147" s="6" t="str">
        <f t="shared" si="7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8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6"/>
        <v>5</v>
      </c>
      <c r="E148" s="6" t="str">
        <f t="shared" si="7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8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6"/>
        <v>19</v>
      </c>
      <c r="E149" s="6" t="str">
        <f t="shared" si="7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8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6"/>
        <v>8</v>
      </c>
      <c r="E150" s="6" t="str">
        <f t="shared" si="7"/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8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6"/>
        <v>20</v>
      </c>
      <c r="E151" s="6" t="str">
        <f t="shared" si="7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8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6"/>
        <v>18</v>
      </c>
      <c r="E152" s="6" t="str">
        <f t="shared" si="7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8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6"/>
        <v>15</v>
      </c>
      <c r="E153" s="6" t="str">
        <f t="shared" si="7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8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6"/>
        <v>8</v>
      </c>
      <c r="E154" s="6" t="str">
        <f t="shared" si="7"/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8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6"/>
        <v>5</v>
      </c>
      <c r="E155" s="6" t="str">
        <f t="shared" si="7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8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6"/>
        <v>20</v>
      </c>
      <c r="E156" s="6" t="str">
        <f t="shared" si="7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8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6"/>
        <v>23</v>
      </c>
      <c r="E157" s="6" t="str">
        <f t="shared" si="7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8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6"/>
        <v>14</v>
      </c>
      <c r="E158" s="6" t="str">
        <f t="shared" si="7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8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6"/>
        <v>14</v>
      </c>
      <c r="E159" s="6" t="str">
        <f t="shared" si="7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8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6"/>
        <v>19</v>
      </c>
      <c r="E160" s="6" t="str">
        <f t="shared" si="7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8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6"/>
        <v>6</v>
      </c>
      <c r="E161" s="6" t="str">
        <f t="shared" si="7"/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8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6"/>
        <v>19</v>
      </c>
      <c r="E162" s="6" t="str">
        <f t="shared" si="7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8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6"/>
        <v>28</v>
      </c>
      <c r="E163" s="6" t="str">
        <f t="shared" si="7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8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6"/>
        <v>9</v>
      </c>
      <c r="E164" s="6" t="str">
        <f t="shared" si="7"/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8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6"/>
        <v>22</v>
      </c>
      <c r="E165" s="6" t="str">
        <f t="shared" si="7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8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6"/>
        <v>24</v>
      </c>
      <c r="E166" s="6" t="str">
        <f t="shared" si="7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8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6"/>
        <v>21</v>
      </c>
      <c r="E167" s="6" t="str">
        <f t="shared" si="7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8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6"/>
        <v>5</v>
      </c>
      <c r="E168" s="6" t="str">
        <f t="shared" si="7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8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6"/>
        <v>19</v>
      </c>
      <c r="E169" s="6" t="str">
        <f t="shared" si="7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8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6"/>
        <v>17</v>
      </c>
      <c r="E170" s="6" t="str">
        <f t="shared" si="7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8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6"/>
        <v>27</v>
      </c>
      <c r="E171" s="6" t="str">
        <f t="shared" si="7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8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6"/>
        <v>10</v>
      </c>
      <c r="E172" s="6" t="str">
        <f t="shared" si="7"/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8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6"/>
        <v>9</v>
      </c>
      <c r="E173" s="6" t="str">
        <f t="shared" si="7"/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8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6"/>
        <v>5</v>
      </c>
      <c r="E174" s="6" t="str">
        <f t="shared" si="7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8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6"/>
        <v>13</v>
      </c>
      <c r="E175" s="6" t="str">
        <f t="shared" si="7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8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6"/>
        <v>24</v>
      </c>
      <c r="E176" s="6" t="str">
        <f t="shared" si="7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8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6"/>
        <v>17</v>
      </c>
      <c r="E177" s="6" t="str">
        <f t="shared" si="7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8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6"/>
        <v>14</v>
      </c>
      <c r="E178" s="6" t="str">
        <f t="shared" si="7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8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6"/>
        <v>11</v>
      </c>
      <c r="E179" s="6" t="str">
        <f t="shared" si="7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8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6"/>
        <v>11</v>
      </c>
      <c r="E180" s="6" t="str">
        <f t="shared" si="7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8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6"/>
        <v>12</v>
      </c>
      <c r="E181" s="6" t="str">
        <f t="shared" si="7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8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6"/>
        <v>23</v>
      </c>
      <c r="E182" s="6" t="str">
        <f t="shared" si="7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8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6"/>
        <v>8</v>
      </c>
      <c r="E183" s="6" t="str">
        <f t="shared" si="7"/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8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6"/>
        <v>22</v>
      </c>
      <c r="E184" s="6" t="str">
        <f t="shared" si="7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8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6"/>
        <v>15</v>
      </c>
      <c r="E185" s="6" t="str">
        <f t="shared" si="7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8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6"/>
        <v>19</v>
      </c>
      <c r="E186" s="6" t="str">
        <f t="shared" si="7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8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6"/>
        <v>29</v>
      </c>
      <c r="E187" s="6" t="str">
        <f t="shared" si="7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8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6"/>
        <v>17</v>
      </c>
      <c r="E188" s="6" t="str">
        <f t="shared" si="7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8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6"/>
        <v>11</v>
      </c>
      <c r="E189" s="6" t="str">
        <f t="shared" si="7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8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6"/>
        <v>8</v>
      </c>
      <c r="E190" s="6" t="str">
        <f t="shared" si="7"/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8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6"/>
        <v>26</v>
      </c>
      <c r="E191" s="6" t="str">
        <f t="shared" si="7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8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6"/>
        <v>21</v>
      </c>
      <c r="E192" s="6" t="str">
        <f t="shared" si="7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8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6"/>
        <v>29</v>
      </c>
      <c r="E193" s="6" t="str">
        <f t="shared" si="7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8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6"/>
        <v>20</v>
      </c>
      <c r="E194" s="6" t="str">
        <f t="shared" si="7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8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6" t="str">
        <f t="shared" ref="E195:E258" si="10">_xlfn.IFS(D195&lt;=5,"Newcomer",D195&lt;=10,"Proficient",D195&gt;10,"Expert")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ref="M195:M258" si="11">IF(OR(L195="Retirement", L195="Resignation"),"Voluntary","Involuntary")</f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9"/>
        <v>25</v>
      </c>
      <c r="E196" s="6" t="str">
        <f t="shared" si="10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11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9"/>
        <v>7</v>
      </c>
      <c r="E197" s="6" t="str">
        <f t="shared" si="10"/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1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9"/>
        <v>23</v>
      </c>
      <c r="E198" s="6" t="str">
        <f t="shared" si="10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1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9"/>
        <v>27</v>
      </c>
      <c r="E199" s="6" t="str">
        <f t="shared" si="10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1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9"/>
        <v>12</v>
      </c>
      <c r="E200" s="6" t="str">
        <f t="shared" si="10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1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9"/>
        <v>5</v>
      </c>
      <c r="E201" s="6" t="str">
        <f t="shared" si="10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1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9"/>
        <v>26</v>
      </c>
      <c r="E202" s="6" t="str">
        <f t="shared" si="10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1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9"/>
        <v>15</v>
      </c>
      <c r="E203" s="6" t="str">
        <f t="shared" si="10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1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9"/>
        <v>29</v>
      </c>
      <c r="E204" s="6" t="str">
        <f t="shared" si="10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1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9"/>
        <v>20</v>
      </c>
      <c r="E205" s="6" t="str">
        <f t="shared" si="10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1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9"/>
        <v>25</v>
      </c>
      <c r="E206" s="6" t="str">
        <f t="shared" si="10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1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9"/>
        <v>24</v>
      </c>
      <c r="E207" s="6" t="str">
        <f t="shared" si="10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1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9"/>
        <v>21</v>
      </c>
      <c r="E208" s="6" t="str">
        <f t="shared" si="10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1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9"/>
        <v>25</v>
      </c>
      <c r="E209" s="6" t="str">
        <f t="shared" si="10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1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9"/>
        <v>27</v>
      </c>
      <c r="E210" s="6" t="str">
        <f t="shared" si="10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1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9"/>
        <v>21</v>
      </c>
      <c r="E211" s="6" t="str">
        <f t="shared" si="10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1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9"/>
        <v>20</v>
      </c>
      <c r="E212" s="6" t="str">
        <f t="shared" si="10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1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9"/>
        <v>15</v>
      </c>
      <c r="E213" s="6" t="str">
        <f t="shared" si="10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1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9"/>
        <v>23</v>
      </c>
      <c r="E214" s="6" t="str">
        <f t="shared" si="10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1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9"/>
        <v>26</v>
      </c>
      <c r="E215" s="6" t="str">
        <f t="shared" si="10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1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9"/>
        <v>18</v>
      </c>
      <c r="E216" s="6" t="str">
        <f t="shared" si="10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1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9"/>
        <v>28</v>
      </c>
      <c r="E217" s="6" t="str">
        <f t="shared" si="10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1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9"/>
        <v>24</v>
      </c>
      <c r="E218" s="6" t="str">
        <f t="shared" si="10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1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9"/>
        <v>7</v>
      </c>
      <c r="E219" s="6" t="str">
        <f t="shared" si="10"/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1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9"/>
        <v>15</v>
      </c>
      <c r="E220" s="6" t="str">
        <f t="shared" si="10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1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9"/>
        <v>26</v>
      </c>
      <c r="E221" s="6" t="str">
        <f t="shared" si="10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1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9"/>
        <v>27</v>
      </c>
      <c r="E222" s="6" t="str">
        <f t="shared" si="10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1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9"/>
        <v>6</v>
      </c>
      <c r="E223" s="6" t="str">
        <f t="shared" si="10"/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1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9"/>
        <v>17</v>
      </c>
      <c r="E224" s="6" t="str">
        <f t="shared" si="10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1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9"/>
        <v>16</v>
      </c>
      <c r="E225" s="6" t="str">
        <f t="shared" si="10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1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9"/>
        <v>8</v>
      </c>
      <c r="E226" s="6" t="str">
        <f t="shared" si="10"/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1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9"/>
        <v>15</v>
      </c>
      <c r="E227" s="6" t="str">
        <f t="shared" si="10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1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9"/>
        <v>21</v>
      </c>
      <c r="E228" s="6" t="str">
        <f t="shared" si="10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1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9"/>
        <v>25</v>
      </c>
      <c r="E229" s="6" t="str">
        <f t="shared" si="10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1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9"/>
        <v>11</v>
      </c>
      <c r="E230" s="6" t="str">
        <f t="shared" si="10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1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9"/>
        <v>24</v>
      </c>
      <c r="E231" s="6" t="str">
        <f t="shared" si="10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1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9"/>
        <v>18</v>
      </c>
      <c r="E232" s="6" t="str">
        <f t="shared" si="10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1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9"/>
        <v>17</v>
      </c>
      <c r="E233" s="6" t="str">
        <f t="shared" si="10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1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9"/>
        <v>21</v>
      </c>
      <c r="E234" s="6" t="str">
        <f t="shared" si="10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1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9"/>
        <v>11</v>
      </c>
      <c r="E235" s="6" t="str">
        <f t="shared" si="10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1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9"/>
        <v>30</v>
      </c>
      <c r="E236" s="6" t="str">
        <f t="shared" si="10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1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9"/>
        <v>13</v>
      </c>
      <c r="E237" s="6" t="str">
        <f t="shared" si="10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1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9"/>
        <v>14</v>
      </c>
      <c r="E238" s="6" t="str">
        <f t="shared" si="10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1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9"/>
        <v>30</v>
      </c>
      <c r="E239" s="6" t="str">
        <f t="shared" si="10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1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9"/>
        <v>20</v>
      </c>
      <c r="E240" s="6" t="str">
        <f t="shared" si="10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1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9"/>
        <v>25</v>
      </c>
      <c r="E241" s="6" t="str">
        <f t="shared" si="10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1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9"/>
        <v>20</v>
      </c>
      <c r="E242" s="6" t="str">
        <f t="shared" si="10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1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9"/>
        <v>8</v>
      </c>
      <c r="E243" s="6" t="str">
        <f t="shared" si="10"/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1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9"/>
        <v>29</v>
      </c>
      <c r="E244" s="6" t="str">
        <f t="shared" si="10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1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9"/>
        <v>26</v>
      </c>
      <c r="E245" s="6" t="str">
        <f t="shared" si="10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1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9"/>
        <v>12</v>
      </c>
      <c r="E246" s="6" t="str">
        <f t="shared" si="10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1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9"/>
        <v>29</v>
      </c>
      <c r="E247" s="6" t="str">
        <f t="shared" si="10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1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9"/>
        <v>16</v>
      </c>
      <c r="E248" s="6" t="str">
        <f t="shared" si="10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1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9"/>
        <v>22</v>
      </c>
      <c r="E249" s="6" t="str">
        <f t="shared" si="10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1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9"/>
        <v>25</v>
      </c>
      <c r="E250" s="6" t="str">
        <f t="shared" si="10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1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9"/>
        <v>29</v>
      </c>
      <c r="E251" s="6" t="str">
        <f t="shared" si="10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1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9"/>
        <v>7</v>
      </c>
      <c r="E252" s="6" t="str">
        <f t="shared" si="10"/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1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9"/>
        <v>29</v>
      </c>
      <c r="E253" s="6" t="str">
        <f t="shared" si="10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1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9"/>
        <v>14</v>
      </c>
      <c r="E254" s="6" t="str">
        <f t="shared" si="10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1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9"/>
        <v>11</v>
      </c>
      <c r="E255" s="6" t="str">
        <f t="shared" si="10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1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9"/>
        <v>15</v>
      </c>
      <c r="E256" s="6" t="str">
        <f t="shared" si="10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1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9"/>
        <v>26</v>
      </c>
      <c r="E257" s="6" t="str">
        <f t="shared" si="10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1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9"/>
        <v>9</v>
      </c>
      <c r="E258" s="6" t="str">
        <f t="shared" si="10"/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1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6" t="str">
        <f t="shared" ref="E259:E322" si="13">_xlfn.IFS(D259&lt;=5,"Newcomer",D259&lt;=10,"Proficient",D259&gt;10,"Expert")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ref="M259:M322" si="14">IF(OR(L259="Retirement", L259="Resignation"),"Voluntary","Involuntary")</f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6" t="str">
        <f t="shared" si="13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14"/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6" t="str">
        <f t="shared" si="13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4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6" t="str">
        <f t="shared" si="13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4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6" t="str">
        <f t="shared" si="13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4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6" t="str">
        <f t="shared" si="13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4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6" t="str">
        <f t="shared" si="13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4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6" t="str">
        <f t="shared" si="13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4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6" t="str">
        <f t="shared" si="13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4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6" t="str">
        <f t="shared" si="13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4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6" t="str">
        <f t="shared" si="13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4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6" t="str">
        <f t="shared" si="13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4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6" t="str">
        <f t="shared" si="13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4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6" t="str">
        <f t="shared" si="13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4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6" t="str">
        <f t="shared" si="13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4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6" t="str">
        <f t="shared" si="13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4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2"/>
        <v>9</v>
      </c>
      <c r="E275" s="6" t="str">
        <f t="shared" si="13"/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4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6" t="str">
        <f t="shared" si="13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4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6" t="str">
        <f t="shared" si="13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4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6" t="str">
        <f t="shared" si="13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4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2"/>
        <v>8</v>
      </c>
      <c r="E279" s="6" t="str">
        <f t="shared" si="13"/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4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6" t="str">
        <f t="shared" si="13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4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6" t="str">
        <f t="shared" si="13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4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6" t="str">
        <f t="shared" si="13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4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2"/>
        <v>8</v>
      </c>
      <c r="E283" s="6" t="str">
        <f t="shared" si="13"/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4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6" t="str">
        <f t="shared" si="13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4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6" t="str">
        <f t="shared" si="13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4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2"/>
        <v>9</v>
      </c>
      <c r="E286" s="6" t="str">
        <f t="shared" si="13"/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4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6" t="str">
        <f t="shared" si="13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4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6" t="str">
        <f t="shared" si="13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4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6" t="str">
        <f t="shared" si="13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4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6" t="str">
        <f t="shared" si="13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4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6" t="str">
        <f t="shared" si="13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4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6" t="str">
        <f t="shared" si="13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4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6" t="str">
        <f t="shared" si="13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4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2"/>
        <v>5</v>
      </c>
      <c r="E294" s="6" t="str">
        <f t="shared" si="13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4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6" t="str">
        <f t="shared" si="13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4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6" t="str">
        <f t="shared" si="13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4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2"/>
        <v>6</v>
      </c>
      <c r="E297" s="6" t="str">
        <f t="shared" si="13"/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4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6" t="str">
        <f t="shared" si="13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4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2"/>
        <v>7</v>
      </c>
      <c r="E299" s="6" t="str">
        <f t="shared" si="13"/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4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6" t="str">
        <f t="shared" si="13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4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6" t="str">
        <f t="shared" si="13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4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6" t="str">
        <f t="shared" si="13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4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6" t="str">
        <f t="shared" si="13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4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6" t="str">
        <f t="shared" si="13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4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6" t="str">
        <f t="shared" si="13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4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6" t="str">
        <f t="shared" si="13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4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6" t="str">
        <f t="shared" si="13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4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6" t="str">
        <f t="shared" si="13"/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4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6" t="str">
        <f t="shared" si="13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4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6" t="str">
        <f t="shared" si="13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4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6" t="str">
        <f t="shared" si="13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4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6" t="str">
        <f t="shared" si="13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4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6" t="str">
        <f t="shared" si="13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4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6" t="str">
        <f t="shared" si="13"/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4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6" t="str">
        <f t="shared" si="13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4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6" t="str">
        <f t="shared" si="13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4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6" t="str">
        <f t="shared" si="13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4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6" t="str">
        <f t="shared" si="13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4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6" t="str">
        <f t="shared" si="13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4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2"/>
        <v>9</v>
      </c>
      <c r="E320" s="6" t="str">
        <f t="shared" si="13"/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4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6" t="str">
        <f t="shared" si="13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4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2"/>
        <v>9</v>
      </c>
      <c r="E322" s="6" t="str">
        <f t="shared" si="13"/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4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6" t="str">
        <f t="shared" ref="E323:E386" si="16">_xlfn.IFS(D323&lt;=5,"Newcomer",D323&lt;=10,"Proficient",D323&gt;10,"Expert")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ref="M323:M386" si="17">IF(OR(L323="Retirement", L323="Resignation"),"Voluntary","Involuntary")</f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6" t="str">
        <f t="shared" si="16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7"/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6" t="str">
        <f t="shared" si="16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7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5"/>
        <v>9</v>
      </c>
      <c r="E326" s="6" t="str">
        <f t="shared" si="16"/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7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6" t="str">
        <f t="shared" si="16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7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6" t="str">
        <f t="shared" si="16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7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6" t="str">
        <f t="shared" si="16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7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6" t="str">
        <f t="shared" si="16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7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5"/>
        <v>8</v>
      </c>
      <c r="E331" s="6" t="str">
        <f t="shared" si="16"/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7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6" t="str">
        <f t="shared" si="16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7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6" t="str">
        <f t="shared" si="16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7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6" t="str">
        <f t="shared" si="16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7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6" t="str">
        <f t="shared" si="16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7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6" t="str">
        <f t="shared" si="16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7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6" t="str">
        <f t="shared" si="16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7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6" t="str">
        <f t="shared" si="16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7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6" t="str">
        <f t="shared" si="16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7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6" t="str">
        <f t="shared" si="16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7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6" t="str">
        <f t="shared" si="16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7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5"/>
        <v>5</v>
      </c>
      <c r="E342" s="6" t="str">
        <f t="shared" si="16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7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6" t="str">
        <f t="shared" si="16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7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6" t="str">
        <f t="shared" si="16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7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6" t="str">
        <f t="shared" si="16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7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5"/>
        <v>5</v>
      </c>
      <c r="E346" s="6" t="str">
        <f t="shared" si="16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7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6" t="str">
        <f t="shared" si="16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7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6" t="str">
        <f t="shared" si="16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7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6" t="str">
        <f t="shared" si="16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7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6" t="str">
        <f t="shared" si="16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7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6" t="str">
        <f t="shared" si="16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7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6" t="str">
        <f t="shared" si="16"/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7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6" t="str">
        <f t="shared" si="16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7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6" t="str">
        <f t="shared" si="16"/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7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6" t="str">
        <f t="shared" si="16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7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6" t="str">
        <f t="shared" si="16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7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5"/>
        <v>5</v>
      </c>
      <c r="E357" s="6" t="str">
        <f t="shared" si="16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7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6" t="str">
        <f t="shared" si="16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7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6" t="str">
        <f t="shared" si="16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7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5"/>
        <v>6</v>
      </c>
      <c r="E360" s="6" t="str">
        <f t="shared" si="16"/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7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6" t="str">
        <f t="shared" si="16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7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5"/>
        <v>8</v>
      </c>
      <c r="E362" s="6" t="str">
        <f t="shared" si="16"/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7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5"/>
        <v>9</v>
      </c>
      <c r="E363" s="6" t="str">
        <f t="shared" si="16"/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7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6" t="str">
        <f t="shared" si="16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7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6" t="str">
        <f t="shared" si="16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7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6" t="str">
        <f t="shared" si="16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7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6" t="str">
        <f t="shared" si="16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7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6" t="str">
        <f t="shared" si="16"/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7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6" t="str">
        <f t="shared" si="16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7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6" t="str">
        <f t="shared" si="16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7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6" t="str">
        <f t="shared" si="16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7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6" t="str">
        <f t="shared" si="16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7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6" t="str">
        <f t="shared" si="16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7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6" t="str">
        <f t="shared" si="16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7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6" t="str">
        <f t="shared" si="16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7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6" t="str">
        <f t="shared" si="16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7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6" t="str">
        <f t="shared" si="16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7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5"/>
        <v>8</v>
      </c>
      <c r="E378" s="6" t="str">
        <f t="shared" si="16"/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7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6" t="str">
        <f t="shared" si="16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7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5"/>
        <v>9</v>
      </c>
      <c r="E380" s="6" t="str">
        <f t="shared" si="16"/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7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6" t="str">
        <f t="shared" si="16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7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6" t="str">
        <f t="shared" si="16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7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6" t="str">
        <f t="shared" si="16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7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6" t="str">
        <f t="shared" si="16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7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6" t="str">
        <f t="shared" si="16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7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6" t="str">
        <f t="shared" si="16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7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6" t="str">
        <f t="shared" ref="E387:E450" si="19">_xlfn.IFS(D387&lt;=5,"Newcomer",D387&lt;=10,"Proficient",D387&gt;10,"Expert")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ref="M387:M450" si="20">IF(OR(L387="Retirement", L387="Resignation"),"Voluntary","Involuntary")</f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6" t="str">
        <f t="shared" si="19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20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6" t="str">
        <f t="shared" si="19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0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6" t="str">
        <f t="shared" si="19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0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8"/>
        <v>9</v>
      </c>
      <c r="E391" s="6" t="str">
        <f t="shared" si="19"/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0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6" t="str">
        <f t="shared" si="19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0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6" t="str">
        <f t="shared" si="19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0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6" t="str">
        <f t="shared" si="19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0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8"/>
        <v>5</v>
      </c>
      <c r="E395" s="6" t="str">
        <f t="shared" si="19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0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6" t="str">
        <f t="shared" si="19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0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6" t="str">
        <f t="shared" si="19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0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8"/>
        <v>9</v>
      </c>
      <c r="E398" s="6" t="str">
        <f t="shared" si="19"/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0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6" t="str">
        <f t="shared" si="19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0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6" t="str">
        <f t="shared" si="19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0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6" t="str">
        <f t="shared" si="19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0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6" t="str">
        <f t="shared" si="19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0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6" t="str">
        <f t="shared" si="19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0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6" t="str">
        <f t="shared" si="19"/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0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6" t="str">
        <f t="shared" si="19"/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0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6" t="str">
        <f t="shared" si="19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0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6" t="str">
        <f t="shared" si="19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0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6" t="str">
        <f t="shared" si="19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0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6" t="str">
        <f t="shared" si="19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0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6" t="str">
        <f t="shared" si="19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0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6" t="str">
        <f t="shared" si="19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0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6" t="str">
        <f t="shared" si="19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0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8"/>
        <v>7</v>
      </c>
      <c r="E413" s="6" t="str">
        <f t="shared" si="19"/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0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6" t="str">
        <f t="shared" si="19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0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6" t="str">
        <f t="shared" si="19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0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6" t="str">
        <f t="shared" si="19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0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6" t="str">
        <f t="shared" si="19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0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6" t="str">
        <f t="shared" si="19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0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6" t="str">
        <f t="shared" si="19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0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6" t="str">
        <f t="shared" si="19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0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6" t="str">
        <f t="shared" si="19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0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6" t="str">
        <f t="shared" si="19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0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6" t="str">
        <f t="shared" si="19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0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6" t="str">
        <f t="shared" si="19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0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8"/>
        <v>7</v>
      </c>
      <c r="E425" s="6" t="str">
        <f t="shared" si="19"/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0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6" t="str">
        <f t="shared" si="19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0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8"/>
        <v>6</v>
      </c>
      <c r="E427" s="6" t="str">
        <f t="shared" si="19"/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0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6" t="str">
        <f t="shared" si="19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0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6" t="str">
        <f t="shared" si="19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0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6" t="str">
        <f t="shared" si="19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0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8"/>
        <v>9</v>
      </c>
      <c r="E431" s="6" t="str">
        <f t="shared" si="19"/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0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6" t="str">
        <f t="shared" si="19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0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6" t="str">
        <f t="shared" si="19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0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6" t="str">
        <f t="shared" si="19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0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8"/>
        <v>6</v>
      </c>
      <c r="E435" s="6" t="str">
        <f t="shared" si="19"/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0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6" t="str">
        <f t="shared" si="19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0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6" t="str">
        <f t="shared" si="19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0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6" t="str">
        <f t="shared" si="19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0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8"/>
        <v>6</v>
      </c>
      <c r="E439" s="6" t="str">
        <f t="shared" si="19"/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0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6" t="str">
        <f t="shared" si="19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0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6" t="str">
        <f t="shared" si="19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0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6" t="str">
        <f t="shared" si="19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0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6" t="str">
        <f t="shared" si="19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0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8"/>
        <v>9</v>
      </c>
      <c r="E444" s="6" t="str">
        <f t="shared" si="19"/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0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6" t="str">
        <f t="shared" si="19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0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6" t="str">
        <f t="shared" si="19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0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8"/>
        <v>7</v>
      </c>
      <c r="E447" s="6" t="str">
        <f t="shared" si="19"/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0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6" t="str">
        <f t="shared" si="19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0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6" t="str">
        <f t="shared" si="19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0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6" t="str">
        <f t="shared" si="19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0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6" t="str">
        <f t="shared" ref="E451:E514" si="22">_xlfn.IFS(D451&lt;=5,"Newcomer",D451&lt;=10,"Proficient",D451&gt;10,"Expert")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ref="M451:M514" si="23">IF(OR(L451="Retirement", L451="Resignation"),"Voluntary","Involuntary")</f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6" t="str">
        <f t="shared" si="22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23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1"/>
        <v>8</v>
      </c>
      <c r="E453" s="6" t="str">
        <f t="shared" si="22"/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3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6" t="str">
        <f t="shared" si="22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3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6" t="str">
        <f t="shared" si="22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3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6" t="str">
        <f t="shared" si="22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3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6" t="str">
        <f t="shared" si="22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3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6" t="str">
        <f t="shared" si="22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3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6" t="str">
        <f t="shared" si="22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3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6" t="str">
        <f t="shared" si="22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3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6" t="str">
        <f t="shared" si="22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3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1"/>
        <v>6</v>
      </c>
      <c r="E462" s="6" t="str">
        <f t="shared" si="22"/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3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6" t="str">
        <f t="shared" si="22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3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6" t="str">
        <f t="shared" si="22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3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6" t="str">
        <f t="shared" si="22"/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3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6" t="str">
        <f t="shared" si="22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3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6" t="str">
        <f t="shared" si="22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3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1"/>
        <v>6</v>
      </c>
      <c r="E468" s="6" t="str">
        <f t="shared" si="22"/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3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6" t="str">
        <f t="shared" si="22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3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6" t="str">
        <f t="shared" si="22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3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6" t="str">
        <f t="shared" si="22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3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6" t="str">
        <f t="shared" si="22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3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1"/>
        <v>7</v>
      </c>
      <c r="E473" s="6" t="str">
        <f t="shared" si="22"/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3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6" t="str">
        <f t="shared" si="22"/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3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6" t="str">
        <f t="shared" si="22"/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3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6" t="str">
        <f t="shared" si="22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3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6" t="str">
        <f t="shared" si="22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3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1"/>
        <v>6</v>
      </c>
      <c r="E478" s="6" t="str">
        <f t="shared" si="22"/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3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6" t="str">
        <f t="shared" si="22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3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1"/>
        <v>8</v>
      </c>
      <c r="E480" s="6" t="str">
        <f t="shared" si="22"/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3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6" t="str">
        <f t="shared" si="22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3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1"/>
        <v>9</v>
      </c>
      <c r="E482" s="6" t="str">
        <f t="shared" si="22"/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3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6" t="str">
        <f t="shared" si="22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3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6" t="str">
        <f t="shared" si="22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3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6" t="str">
        <f t="shared" si="22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3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1"/>
        <v>7</v>
      </c>
      <c r="E486" s="6" t="str">
        <f t="shared" si="22"/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3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6" t="str">
        <f t="shared" si="22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3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6" t="str">
        <f t="shared" si="22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3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1"/>
        <v>8</v>
      </c>
      <c r="E489" s="6" t="str">
        <f t="shared" si="22"/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3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6" t="str">
        <f t="shared" si="22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3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1"/>
        <v>6</v>
      </c>
      <c r="E491" s="6" t="str">
        <f t="shared" si="22"/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3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6" t="str">
        <f t="shared" si="22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3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6" t="str">
        <f t="shared" si="22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3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6" t="str">
        <f t="shared" si="22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3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6" t="str">
        <f t="shared" si="22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3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1"/>
        <v>8</v>
      </c>
      <c r="E496" s="6" t="str">
        <f t="shared" si="22"/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3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1"/>
        <v>5</v>
      </c>
      <c r="E497" s="6" t="str">
        <f t="shared" si="22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3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6" t="str">
        <f t="shared" si="22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3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6" t="str">
        <f t="shared" si="22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3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1"/>
        <v>6</v>
      </c>
      <c r="E500" s="6" t="str">
        <f t="shared" si="22"/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3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6" t="str">
        <f t="shared" si="22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3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6" t="str">
        <f t="shared" si="22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3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6" t="str">
        <f t="shared" si="22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3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6" t="str">
        <f t="shared" si="22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3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6" t="str">
        <f t="shared" si="22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3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6" t="str">
        <f t="shared" si="22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3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1"/>
        <v>5</v>
      </c>
      <c r="E507" s="6" t="str">
        <f t="shared" si="22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3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6" t="str">
        <f t="shared" si="22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3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6" t="str">
        <f t="shared" si="22"/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3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6" t="str">
        <f t="shared" si="22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3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6" t="str">
        <f t="shared" si="22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3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6" t="str">
        <f t="shared" si="22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3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6" t="str">
        <f t="shared" si="22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3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6" t="str">
        <f t="shared" si="22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3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6" t="str">
        <f t="shared" ref="E515:E578" si="25">_xlfn.IFS(D515&lt;=5,"Newcomer",D515&lt;=10,"Proficient",D515&gt;10,"Expert")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ref="M515:M578" si="26">IF(OR(L515="Retirement", L515="Resignation"),"Voluntary","Involuntary")</f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4"/>
        <v>8</v>
      </c>
      <c r="E516" s="6" t="str">
        <f t="shared" si="25"/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26"/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6" t="str">
        <f t="shared" si="25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6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4"/>
        <v>6</v>
      </c>
      <c r="E518" s="6" t="str">
        <f t="shared" si="25"/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6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4"/>
        <v>6</v>
      </c>
      <c r="E519" s="6" t="str">
        <f t="shared" si="25"/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6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6" t="str">
        <f t="shared" si="25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6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6" t="str">
        <f t="shared" si="25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6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6" t="str">
        <f t="shared" si="25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6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4"/>
        <v>8</v>
      </c>
      <c r="E523" s="6" t="str">
        <f t="shared" si="25"/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6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4"/>
        <v>5</v>
      </c>
      <c r="E524" s="6" t="str">
        <f t="shared" si="25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6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6" t="str">
        <f t="shared" si="25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6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6" t="str">
        <f t="shared" si="25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6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6" t="str">
        <f t="shared" si="25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6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6" t="str">
        <f t="shared" si="25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6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6" t="str">
        <f t="shared" si="25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6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4"/>
        <v>7</v>
      </c>
      <c r="E530" s="6" t="str">
        <f t="shared" si="25"/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6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6" t="str">
        <f t="shared" si="25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6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4"/>
        <v>9</v>
      </c>
      <c r="E532" s="6" t="str">
        <f t="shared" si="25"/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6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4"/>
        <v>5</v>
      </c>
      <c r="E533" s="6" t="str">
        <f t="shared" si="25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6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6" t="str">
        <f t="shared" si="25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6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6" t="str">
        <f t="shared" si="25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6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4"/>
        <v>8</v>
      </c>
      <c r="E536" s="6" t="str">
        <f t="shared" si="25"/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6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6" t="str">
        <f t="shared" si="25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6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6" t="str">
        <f t="shared" si="25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6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6" t="str">
        <f t="shared" si="25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6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6" t="str">
        <f t="shared" si="25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6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4"/>
        <v>9</v>
      </c>
      <c r="E541" s="6" t="str">
        <f t="shared" si="25"/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6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6" t="str">
        <f t="shared" si="25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6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4"/>
        <v>7</v>
      </c>
      <c r="E543" s="6" t="str">
        <f t="shared" si="25"/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6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6" t="str">
        <f t="shared" si="25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6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6" t="str">
        <f t="shared" si="25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6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6" t="str">
        <f t="shared" si="25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6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4"/>
        <v>6</v>
      </c>
      <c r="E547" s="6" t="str">
        <f t="shared" si="25"/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6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6" t="str">
        <f t="shared" si="25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6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6" t="str">
        <f t="shared" si="25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6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6" t="str">
        <f t="shared" si="25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6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4"/>
        <v>6</v>
      </c>
      <c r="E551" s="6" t="str">
        <f t="shared" si="25"/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6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6" t="str">
        <f t="shared" si="25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6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6" t="str">
        <f t="shared" si="25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6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6" t="str">
        <f t="shared" si="25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6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6" t="str">
        <f t="shared" si="25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6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6" t="str">
        <f t="shared" si="25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6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6" t="str">
        <f t="shared" si="25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6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6" t="str">
        <f t="shared" si="25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6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6" t="str">
        <f t="shared" si="25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6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6" t="str">
        <f t="shared" si="25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6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6" t="str">
        <f t="shared" si="25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6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6" t="str">
        <f t="shared" si="25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6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6" t="str">
        <f t="shared" si="25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6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6" t="str">
        <f t="shared" si="25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6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6" t="str">
        <f t="shared" si="25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6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6" t="str">
        <f t="shared" si="25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6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6" t="str">
        <f t="shared" si="25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6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4"/>
        <v>9</v>
      </c>
      <c r="E568" s="6" t="str">
        <f t="shared" si="25"/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6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6" t="str">
        <f t="shared" si="25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6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4"/>
        <v>9</v>
      </c>
      <c r="E570" s="6" t="str">
        <f t="shared" si="25"/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6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6" t="str">
        <f t="shared" si="25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6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4"/>
        <v>5</v>
      </c>
      <c r="E572" s="6" t="str">
        <f t="shared" si="25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6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6" t="str">
        <f t="shared" si="25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6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6" t="str">
        <f t="shared" si="25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6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4"/>
        <v>5</v>
      </c>
      <c r="E575" s="6" t="str">
        <f t="shared" si="25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6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4"/>
        <v>5</v>
      </c>
      <c r="E576" s="6" t="str">
        <f t="shared" si="25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6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4"/>
        <v>5</v>
      </c>
      <c r="E577" s="6" t="str">
        <f t="shared" si="25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6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6" t="str">
        <f t="shared" si="25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6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6" t="str">
        <f t="shared" ref="E579:E642" si="28">_xlfn.IFS(D579&lt;=5,"Newcomer",D579&lt;=10,"Proficient",D579&gt;10,"Expert")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ref="M579:M642" si="29">IF(OR(L579="Retirement", L579="Resignation"),"Voluntary","Involuntary")</f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7"/>
        <v>9</v>
      </c>
      <c r="E580" s="6" t="str">
        <f t="shared" si="28"/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29"/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6" t="str">
        <f t="shared" si="28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29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6" t="str">
        <f t="shared" si="28"/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29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7"/>
        <v>9</v>
      </c>
      <c r="E583" s="6" t="str">
        <f t="shared" si="28"/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29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6" t="str">
        <f t="shared" si="28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9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7"/>
        <v>6</v>
      </c>
      <c r="E585" s="6" t="str">
        <f t="shared" si="28"/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9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6" t="str">
        <f t="shared" si="28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9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6" t="str">
        <f t="shared" si="28"/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9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6" t="str">
        <f t="shared" si="28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9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7"/>
        <v>9</v>
      </c>
      <c r="E589" s="6" t="str">
        <f t="shared" si="28"/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9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6" t="str">
        <f t="shared" si="28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9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6" t="str">
        <f t="shared" si="28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9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6" t="str">
        <f t="shared" si="28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9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6" t="str">
        <f t="shared" si="28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9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6" t="str">
        <f t="shared" si="28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9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6" t="str">
        <f t="shared" si="28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9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6" t="str">
        <f t="shared" si="28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9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7"/>
        <v>8</v>
      </c>
      <c r="E597" s="6" t="str">
        <f t="shared" si="28"/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9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6" t="str">
        <f t="shared" si="28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9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7"/>
        <v>5</v>
      </c>
      <c r="E599" s="6" t="str">
        <f t="shared" si="28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9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6" t="str">
        <f t="shared" si="28"/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9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6" t="str">
        <f t="shared" si="28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9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6" t="str">
        <f t="shared" si="28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9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6" t="str">
        <f t="shared" si="28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9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6" t="str">
        <f t="shared" si="28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9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6" t="str">
        <f t="shared" si="28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9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6" t="str">
        <f t="shared" si="28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9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6" t="str">
        <f t="shared" si="28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9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6" t="str">
        <f t="shared" si="28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9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6" t="str">
        <f t="shared" si="28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9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6" t="str">
        <f t="shared" si="28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9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6" t="str">
        <f t="shared" si="28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9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7"/>
        <v>6</v>
      </c>
      <c r="E612" s="6" t="str">
        <f t="shared" si="28"/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9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6" t="str">
        <f t="shared" si="28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9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6" t="str">
        <f t="shared" si="28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9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6" t="str">
        <f t="shared" si="28"/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9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6" t="str">
        <f t="shared" si="28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9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6" t="str">
        <f t="shared" si="28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9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6" t="str">
        <f t="shared" si="28"/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9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6" t="str">
        <f t="shared" si="28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9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7"/>
        <v>7</v>
      </c>
      <c r="E620" s="6" t="str">
        <f t="shared" si="28"/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9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6" t="str">
        <f t="shared" si="28"/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9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6" t="str">
        <f t="shared" si="28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9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6" t="str">
        <f t="shared" si="28"/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9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6" t="str">
        <f t="shared" si="28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9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6" t="str">
        <f t="shared" si="28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9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6" t="str">
        <f t="shared" si="28"/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9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6" t="str">
        <f t="shared" si="28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9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6" t="str">
        <f t="shared" si="28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9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6" t="str">
        <f t="shared" si="28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9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7"/>
        <v>7</v>
      </c>
      <c r="E630" s="6" t="str">
        <f t="shared" si="28"/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9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6" t="str">
        <f t="shared" si="28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9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6" t="str">
        <f t="shared" si="28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9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7"/>
        <v>7</v>
      </c>
      <c r="E633" s="6" t="str">
        <f t="shared" si="28"/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9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6" t="str">
        <f t="shared" si="28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9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6" t="str">
        <f t="shared" si="28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9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6" t="str">
        <f t="shared" si="28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9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6" t="str">
        <f t="shared" si="28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9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6" t="str">
        <f t="shared" si="28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9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6" t="str">
        <f t="shared" si="28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9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6" t="str">
        <f t="shared" si="28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9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6" t="str">
        <f t="shared" si="28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9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6" t="str">
        <f t="shared" si="28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9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6" t="str">
        <f t="shared" ref="E643:E706" si="31">_xlfn.IFS(D643&lt;=5,"Newcomer",D643&lt;=10,"Proficient",D643&gt;10,"Expert")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ref="M643:M706" si="32">IF(OR(L643="Retirement", L643="Resignation"),"Voluntary","Involuntary")</f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6" t="str">
        <f t="shared" si="31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32"/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6" t="str">
        <f t="shared" si="31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2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6" t="str">
        <f t="shared" si="31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2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6" t="str">
        <f t="shared" si="31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2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6" t="str">
        <f t="shared" si="31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2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6" t="str">
        <f t="shared" si="31"/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2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6" t="str">
        <f t="shared" si="31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2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6" t="str">
        <f t="shared" si="31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2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6" t="str">
        <f t="shared" si="31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2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6" t="str">
        <f t="shared" si="31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2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0"/>
        <v>7</v>
      </c>
      <c r="E654" s="6" t="str">
        <f t="shared" si="31"/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2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6" t="str">
        <f t="shared" si="31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2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6" t="str">
        <f t="shared" si="31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2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6" t="str">
        <f t="shared" si="31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2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0"/>
        <v>7</v>
      </c>
      <c r="E658" s="6" t="str">
        <f t="shared" si="31"/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2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6" t="str">
        <f t="shared" si="31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2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6" t="str">
        <f t="shared" si="31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2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6" t="str">
        <f t="shared" si="31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2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0"/>
        <v>8</v>
      </c>
      <c r="E662" s="6" t="str">
        <f t="shared" si="31"/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2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0"/>
        <v>8</v>
      </c>
      <c r="E663" s="6" t="str">
        <f t="shared" si="31"/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2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0"/>
        <v>6</v>
      </c>
      <c r="E664" s="6" t="str">
        <f t="shared" si="31"/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2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6" t="str">
        <f t="shared" si="31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2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6" t="str">
        <f t="shared" si="31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2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6" t="str">
        <f t="shared" si="31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2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6" t="str">
        <f t="shared" si="31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2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6" t="str">
        <f t="shared" si="31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2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0"/>
        <v>6</v>
      </c>
      <c r="E670" s="6" t="str">
        <f t="shared" si="31"/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2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6" t="str">
        <f t="shared" si="31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2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6" t="str">
        <f t="shared" si="31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2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6" t="str">
        <f t="shared" si="31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2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6" t="str">
        <f t="shared" si="31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2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6" t="str">
        <f t="shared" si="31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2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6" t="str">
        <f t="shared" si="31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2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6" t="str">
        <f t="shared" si="31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2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6" t="str">
        <f t="shared" si="31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2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6" t="str">
        <f t="shared" si="31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2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6" t="str">
        <f t="shared" si="31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2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0"/>
        <v>7</v>
      </c>
      <c r="E681" s="6" t="str">
        <f t="shared" si="31"/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2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6" t="str">
        <f t="shared" si="31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2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6" t="str">
        <f t="shared" si="31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2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6" t="str">
        <f t="shared" si="31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2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6" t="str">
        <f t="shared" si="31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2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6" t="str">
        <f t="shared" si="31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2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0"/>
        <v>9</v>
      </c>
      <c r="E687" s="6" t="str">
        <f t="shared" si="31"/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2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6" t="str">
        <f t="shared" si="31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2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6" t="str">
        <f t="shared" si="31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2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0"/>
        <v>7</v>
      </c>
      <c r="E690" s="6" t="str">
        <f t="shared" si="31"/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2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6" t="str">
        <f t="shared" si="31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2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6" t="str">
        <f t="shared" si="31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2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6" t="str">
        <f t="shared" si="31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2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6" t="str">
        <f t="shared" si="31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2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6" t="str">
        <f t="shared" si="31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2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0"/>
        <v>7</v>
      </c>
      <c r="E696" s="6" t="str">
        <f t="shared" si="31"/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2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6" t="str">
        <f t="shared" si="31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2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6" t="str">
        <f t="shared" si="31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2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0"/>
        <v>9</v>
      </c>
      <c r="E699" s="6" t="str">
        <f t="shared" si="31"/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2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6" t="str">
        <f t="shared" si="31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2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6" t="str">
        <f t="shared" si="31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2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6" t="str">
        <f t="shared" si="31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2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6" t="str">
        <f t="shared" si="31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2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6" t="str">
        <f t="shared" si="31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2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0"/>
        <v>7</v>
      </c>
      <c r="E705" s="6" t="str">
        <f t="shared" si="31"/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2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6" t="str">
        <f t="shared" si="31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2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6" t="str">
        <f t="shared" ref="E707:E770" si="34">_xlfn.IFS(D707&lt;=5,"Newcomer",D707&lt;=10,"Proficient",D707&gt;10,"Expert")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ref="M707:M770" si="35">IF(OR(L707="Retirement", L707="Resignation"),"Voluntary","Involuntary")</f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3"/>
        <v>6</v>
      </c>
      <c r="E708" s="6" t="str">
        <f t="shared" si="34"/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35"/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3"/>
        <v>8</v>
      </c>
      <c r="E709" s="6" t="str">
        <f t="shared" si="34"/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5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6" t="str">
        <f t="shared" si="34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5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6" t="str">
        <f t="shared" si="34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5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3"/>
        <v>7</v>
      </c>
      <c r="E712" s="6" t="str">
        <f t="shared" si="34"/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5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6" t="str">
        <f t="shared" si="34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5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3"/>
        <v>7</v>
      </c>
      <c r="E714" s="6" t="str">
        <f t="shared" si="34"/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5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6" t="str">
        <f t="shared" si="34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5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6" t="str">
        <f t="shared" si="34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5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6" t="str">
        <f t="shared" si="34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5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3"/>
        <v>9</v>
      </c>
      <c r="E718" s="6" t="str">
        <f t="shared" si="34"/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5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6" t="str">
        <f t="shared" si="34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5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6" t="str">
        <f t="shared" si="34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5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6" t="str">
        <f t="shared" si="34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5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6" t="str">
        <f t="shared" si="34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5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6" t="str">
        <f t="shared" si="34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5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3"/>
        <v>5</v>
      </c>
      <c r="E724" s="6" t="str">
        <f t="shared" si="34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5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6" t="str">
        <f t="shared" si="34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5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6" t="str">
        <f t="shared" si="34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5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6" t="str">
        <f t="shared" si="34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5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6" t="str">
        <f t="shared" si="34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5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6" t="str">
        <f t="shared" si="34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5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6" t="str">
        <f t="shared" si="34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5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6" t="str">
        <f t="shared" si="34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5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6" t="str">
        <f t="shared" si="34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5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3"/>
        <v>8</v>
      </c>
      <c r="E733" s="6" t="str">
        <f t="shared" si="34"/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5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6" t="str">
        <f t="shared" si="34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5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6" t="str">
        <f t="shared" si="34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5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6" t="str">
        <f t="shared" si="34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5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6" t="str">
        <f t="shared" si="34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5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6" t="str">
        <f t="shared" si="34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5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6" t="str">
        <f t="shared" si="34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5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6" t="str">
        <f t="shared" si="34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5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6" t="str">
        <f t="shared" si="34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5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6" t="str">
        <f t="shared" si="34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5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6" t="str">
        <f t="shared" si="34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5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6" t="str">
        <f t="shared" si="34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5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6" t="str">
        <f t="shared" si="34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5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6" t="str">
        <f t="shared" si="34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5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6" t="str">
        <f t="shared" si="34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5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6" t="str">
        <f t="shared" si="34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5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6" t="str">
        <f t="shared" si="34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5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6" t="str">
        <f t="shared" si="34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5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6" t="str">
        <f t="shared" si="34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5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3"/>
        <v>7</v>
      </c>
      <c r="E752" s="6" t="str">
        <f t="shared" si="34"/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5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6" t="str">
        <f t="shared" si="34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5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6" t="str">
        <f t="shared" si="34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5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6" t="str">
        <f t="shared" si="34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5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6" t="str">
        <f t="shared" si="34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5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3"/>
        <v>6</v>
      </c>
      <c r="E757" s="6" t="str">
        <f t="shared" si="34"/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5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6" t="str">
        <f t="shared" si="34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5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3"/>
        <v>9</v>
      </c>
      <c r="E759" s="6" t="str">
        <f t="shared" si="34"/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5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6" t="str">
        <f t="shared" si="34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5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6" t="str">
        <f t="shared" si="34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5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6" t="str">
        <f t="shared" si="34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5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3"/>
        <v>8</v>
      </c>
      <c r="E763" s="6" t="str">
        <f t="shared" si="34"/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5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3"/>
        <v>7</v>
      </c>
      <c r="E764" s="6" t="str">
        <f t="shared" si="34"/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5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3"/>
        <v>8</v>
      </c>
      <c r="E765" s="6" t="str">
        <f t="shared" si="34"/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5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6" t="str">
        <f t="shared" si="34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5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6" t="str">
        <f t="shared" si="34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5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6" t="str">
        <f t="shared" si="34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5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6" t="str">
        <f t="shared" si="34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5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3"/>
        <v>7</v>
      </c>
      <c r="E770" s="6" t="str">
        <f t="shared" si="34"/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5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6" t="str">
        <f t="shared" ref="E771:E834" si="37">_xlfn.IFS(D771&lt;=5,"Newcomer",D771&lt;=10,"Proficient",D771&gt;10,"Expert")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ref="M771:M834" si="38">IF(OR(L771="Retirement", L771="Resignation"),"Voluntary","Involuntary")</f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6" t="str">
        <f t="shared" si="37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38"/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6"/>
        <v>7</v>
      </c>
      <c r="E773" s="6" t="str">
        <f t="shared" si="37"/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8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6" t="str">
        <f t="shared" si="37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8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6" t="str">
        <f t="shared" si="37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8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6"/>
        <v>6</v>
      </c>
      <c r="E776" s="6" t="str">
        <f t="shared" si="37"/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8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6" t="str">
        <f t="shared" si="37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8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6" t="str">
        <f t="shared" si="37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8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6" t="str">
        <f t="shared" si="37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8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6"/>
        <v>7</v>
      </c>
      <c r="E780" s="6" t="str">
        <f t="shared" si="37"/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8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6" t="str">
        <f t="shared" si="37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8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6" t="str">
        <f t="shared" si="37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8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6" t="str">
        <f t="shared" si="37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8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6" t="str">
        <f t="shared" si="37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8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6" t="str">
        <f t="shared" si="37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8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6" t="str">
        <f t="shared" si="37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8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6" t="str">
        <f t="shared" si="37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8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6" t="str">
        <f t="shared" si="37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8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6" t="str">
        <f t="shared" si="37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8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6" t="str">
        <f t="shared" si="37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8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6" t="str">
        <f t="shared" si="37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8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6"/>
        <v>8</v>
      </c>
      <c r="E792" s="6" t="str">
        <f t="shared" si="37"/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8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6"/>
        <v>8</v>
      </c>
      <c r="E793" s="6" t="str">
        <f t="shared" si="37"/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8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6" t="str">
        <f t="shared" si="37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8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6" t="str">
        <f t="shared" si="37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8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6" t="str">
        <f t="shared" si="37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8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6" t="str">
        <f t="shared" si="37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8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6"/>
        <v>5</v>
      </c>
      <c r="E798" s="6" t="str">
        <f t="shared" si="37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8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6"/>
        <v>7</v>
      </c>
      <c r="E799" s="6" t="str">
        <f t="shared" si="37"/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8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6" t="str">
        <f t="shared" si="37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8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6"/>
        <v>7</v>
      </c>
      <c r="E801" s="6" t="str">
        <f t="shared" si="37"/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8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6"/>
        <v>9</v>
      </c>
      <c r="E802" s="6" t="str">
        <f t="shared" si="37"/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8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6" t="str">
        <f t="shared" si="37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8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6" t="str">
        <f t="shared" si="37"/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8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6" t="str">
        <f t="shared" si="37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8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6" t="str">
        <f t="shared" si="37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8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6" t="str">
        <f t="shared" si="37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8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6" t="str">
        <f t="shared" si="37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8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6" t="str">
        <f t="shared" si="37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8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6"/>
        <v>8</v>
      </c>
      <c r="E810" s="6" t="str">
        <f t="shared" si="37"/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8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6" t="str">
        <f t="shared" si="37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8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6" t="str">
        <f t="shared" si="37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8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6" t="str">
        <f t="shared" si="37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8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6" t="str">
        <f t="shared" si="37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8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6" t="str">
        <f t="shared" si="37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8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6"/>
        <v>6</v>
      </c>
      <c r="E816" s="6" t="str">
        <f t="shared" si="37"/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8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6" t="str">
        <f t="shared" si="37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8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6" t="str">
        <f t="shared" si="37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8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6" t="str">
        <f t="shared" si="37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8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6" t="str">
        <f t="shared" si="37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8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6" t="str">
        <f t="shared" si="37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8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6" t="str">
        <f t="shared" si="37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8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6" t="str">
        <f t="shared" si="37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8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6"/>
        <v>5</v>
      </c>
      <c r="E824" s="6" t="str">
        <f t="shared" si="37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8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6" t="str">
        <f t="shared" si="37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8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6" t="str">
        <f t="shared" si="37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8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6"/>
        <v>5</v>
      </c>
      <c r="E827" s="6" t="str">
        <f t="shared" si="37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8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6" t="str">
        <f t="shared" si="37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8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6" t="str">
        <f t="shared" si="37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8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6" t="str">
        <f t="shared" si="37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8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6" t="str">
        <f t="shared" si="37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8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6" t="str">
        <f t="shared" si="37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8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6" t="str">
        <f t="shared" si="37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8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6" t="str">
        <f t="shared" si="37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8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6" t="str">
        <f t="shared" ref="E835:E898" si="40">_xlfn.IFS(D835&lt;=5,"Newcomer",D835&lt;=10,"Proficient",D835&gt;10,"Expert")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ref="M835:M898" si="41">IF(OR(L835="Retirement", L835="Resignation"),"Voluntary","Involuntary")</f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39"/>
        <v>8</v>
      </c>
      <c r="E836" s="6" t="str">
        <f t="shared" si="40"/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41"/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6" t="str">
        <f t="shared" si="40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1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6" t="str">
        <f t="shared" si="40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1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6" t="str">
        <f t="shared" si="40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1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39"/>
        <v>9</v>
      </c>
      <c r="E840" s="6" t="str">
        <f t="shared" si="40"/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1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39"/>
        <v>6</v>
      </c>
      <c r="E841" s="6" t="str">
        <f t="shared" si="40"/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1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6" t="str">
        <f t="shared" si="40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1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6" t="str">
        <f t="shared" si="40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1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6" t="str">
        <f t="shared" si="40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1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6" t="str">
        <f t="shared" si="40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1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39"/>
        <v>9</v>
      </c>
      <c r="E846" s="6" t="str">
        <f t="shared" si="40"/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1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6" t="str">
        <f t="shared" si="40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1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6" t="str">
        <f t="shared" si="40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1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6" t="str">
        <f t="shared" si="40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1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6" t="str">
        <f t="shared" si="40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1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6" t="str">
        <f t="shared" si="40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1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6" t="str">
        <f t="shared" si="40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1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6" t="str">
        <f t="shared" si="40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1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6" t="str">
        <f t="shared" si="40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1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6" t="str">
        <f t="shared" si="40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1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6" t="str">
        <f t="shared" si="40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1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6" t="str">
        <f t="shared" si="40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1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6" t="str">
        <f t="shared" si="40"/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1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6" t="str">
        <f t="shared" si="40"/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1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6" t="str">
        <f t="shared" si="40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1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6" t="str">
        <f t="shared" si="40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1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39"/>
        <v>8</v>
      </c>
      <c r="E862" s="6" t="str">
        <f t="shared" si="40"/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1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6" t="str">
        <f t="shared" si="40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1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6" t="str">
        <f t="shared" si="40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1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6" t="str">
        <f t="shared" si="40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1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6" t="str">
        <f t="shared" si="40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1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39"/>
        <v>5</v>
      </c>
      <c r="E867" s="6" t="str">
        <f t="shared" si="40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1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6" t="str">
        <f t="shared" si="40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1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6" t="str">
        <f t="shared" si="40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1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6" t="str">
        <f t="shared" si="40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1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39"/>
        <v>5</v>
      </c>
      <c r="E871" s="6" t="str">
        <f t="shared" si="40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1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39"/>
        <v>7</v>
      </c>
      <c r="E872" s="6" t="str">
        <f t="shared" si="40"/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1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6" t="str">
        <f t="shared" si="40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1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6" t="str">
        <f t="shared" si="40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1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39"/>
        <v>9</v>
      </c>
      <c r="E875" s="6" t="str">
        <f t="shared" si="40"/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1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6" t="str">
        <f t="shared" si="40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1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6" t="str">
        <f t="shared" si="40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1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6" t="str">
        <f t="shared" si="40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1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39"/>
        <v>7</v>
      </c>
      <c r="E879" s="6" t="str">
        <f t="shared" si="40"/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1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6" t="str">
        <f t="shared" si="40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1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6" t="str">
        <f t="shared" si="40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1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6" t="str">
        <f t="shared" si="40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1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39"/>
        <v>6</v>
      </c>
      <c r="E883" s="6" t="str">
        <f t="shared" si="40"/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1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6" t="str">
        <f t="shared" si="40"/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1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6" t="str">
        <f t="shared" si="40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1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6" t="str">
        <f t="shared" si="40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1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6" t="str">
        <f t="shared" si="40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1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6" t="str">
        <f t="shared" si="40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1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39"/>
        <v>5</v>
      </c>
      <c r="E889" s="6" t="str">
        <f t="shared" si="40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1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6" t="str">
        <f t="shared" si="40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1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6" t="str">
        <f t="shared" si="40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1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6" t="str">
        <f t="shared" si="40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1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6" t="str">
        <f t="shared" si="40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1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6" t="str">
        <f t="shared" si="40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1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39"/>
        <v>8</v>
      </c>
      <c r="E895" s="6" t="str">
        <f t="shared" si="40"/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1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6" t="str">
        <f t="shared" si="40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1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6" t="str">
        <f t="shared" si="40"/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1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6" t="str">
        <f t="shared" si="40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1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6" t="str">
        <f t="shared" ref="E899:E962" si="43">_xlfn.IFS(D899&lt;=5,"Newcomer",D899&lt;=10,"Proficient",D899&gt;10,"Expert")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ref="M899:M962" si="44">IF(OR(L899="Retirement", L899="Resignation"),"Voluntary","Involuntary")</f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6" t="str">
        <f t="shared" si="43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44"/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6" t="str">
        <f t="shared" si="43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4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2"/>
        <v>6</v>
      </c>
      <c r="E902" s="6" t="str">
        <f t="shared" si="43"/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4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2"/>
        <v>9</v>
      </c>
      <c r="E903" s="6" t="str">
        <f t="shared" si="43"/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4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6" t="str">
        <f t="shared" si="43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4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6" t="str">
        <f t="shared" si="43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4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2"/>
        <v>5</v>
      </c>
      <c r="E906" s="6" t="str">
        <f t="shared" si="43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4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2"/>
        <v>8</v>
      </c>
      <c r="E907" s="6" t="str">
        <f t="shared" si="43"/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4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6" t="str">
        <f t="shared" si="43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4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6" t="str">
        <f t="shared" si="43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4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6" t="str">
        <f t="shared" si="43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4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6" t="str">
        <f t="shared" si="43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4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6" t="str">
        <f t="shared" si="43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4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6" t="str">
        <f t="shared" si="43"/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4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6" t="str">
        <f t="shared" si="43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4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6" t="str">
        <f t="shared" si="43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4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6" t="str">
        <f t="shared" si="43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4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6" t="str">
        <f t="shared" si="43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4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6" t="str">
        <f t="shared" si="43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4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6" t="str">
        <f t="shared" si="43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4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6" t="str">
        <f t="shared" si="43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4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6" t="str">
        <f t="shared" si="43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4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6" t="str">
        <f t="shared" si="43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4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6" t="str">
        <f t="shared" si="43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4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6" t="str">
        <f t="shared" si="43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4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6" t="str">
        <f t="shared" si="43"/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4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2"/>
        <v>9</v>
      </c>
      <c r="E926" s="6" t="str">
        <f t="shared" si="43"/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4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6" t="str">
        <f t="shared" si="43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4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6" t="str">
        <f t="shared" si="43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4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6" t="str">
        <f t="shared" si="43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4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6" t="str">
        <f t="shared" si="43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4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2"/>
        <v>9</v>
      </c>
      <c r="E931" s="6" t="str">
        <f t="shared" si="43"/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4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6" t="str">
        <f t="shared" si="43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4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6" t="str">
        <f t="shared" si="43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4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6" t="str">
        <f t="shared" si="43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4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6" t="str">
        <f t="shared" si="43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4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6" t="str">
        <f t="shared" si="43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4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2"/>
        <v>7</v>
      </c>
      <c r="E937" s="6" t="str">
        <f t="shared" si="43"/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4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6" t="str">
        <f t="shared" si="43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4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6" t="str">
        <f t="shared" si="43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4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6" t="str">
        <f t="shared" si="43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4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2"/>
        <v>8</v>
      </c>
      <c r="E941" s="6" t="str">
        <f t="shared" si="43"/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4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2"/>
        <v>6</v>
      </c>
      <c r="E942" s="6" t="str">
        <f t="shared" si="43"/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4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2"/>
        <v>8</v>
      </c>
      <c r="E943" s="6" t="str">
        <f t="shared" si="43"/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4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6" t="str">
        <f t="shared" si="43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4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2"/>
        <v>8</v>
      </c>
      <c r="E945" s="6" t="str">
        <f t="shared" si="43"/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4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6" t="str">
        <f t="shared" si="43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4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6" t="str">
        <f t="shared" si="43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4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2"/>
        <v>7</v>
      </c>
      <c r="E948" s="6" t="str">
        <f t="shared" si="43"/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4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6" t="str">
        <f t="shared" si="43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4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6" t="str">
        <f t="shared" si="43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4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6" t="str">
        <f t="shared" si="43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4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6" t="str">
        <f t="shared" si="43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4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6" t="str">
        <f t="shared" si="43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4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6" t="str">
        <f t="shared" si="43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4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6" t="str">
        <f t="shared" si="43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4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6" t="str">
        <f t="shared" si="43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4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6" t="str">
        <f t="shared" si="43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4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2"/>
        <v>8</v>
      </c>
      <c r="E958" s="6" t="str">
        <f t="shared" si="43"/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4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2"/>
        <v>8</v>
      </c>
      <c r="E959" s="6" t="str">
        <f t="shared" si="43"/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4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6" t="str">
        <f t="shared" si="43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4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6" t="str">
        <f t="shared" si="43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4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6" t="str">
        <f t="shared" si="43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4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6" t="str">
        <f t="shared" ref="E963:E1026" si="46">_xlfn.IFS(D963&lt;=5,"Newcomer",D963&lt;=10,"Proficient",D963&gt;10,"Expert")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ref="M963:M1026" si="47">IF(OR(L963="Retirement", L963="Resignation"),"Voluntary","Involuntary")</f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5"/>
        <v>8</v>
      </c>
      <c r="E964" s="6" t="str">
        <f t="shared" si="46"/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47"/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6" t="str">
        <f t="shared" si="46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7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6" t="str">
        <f t="shared" si="46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7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5"/>
        <v>8</v>
      </c>
      <c r="E967" s="6" t="str">
        <f t="shared" si="46"/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7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6" t="str">
        <f t="shared" si="46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7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6" t="str">
        <f t="shared" si="46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7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6" t="str">
        <f t="shared" si="46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7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6" t="str">
        <f t="shared" si="46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7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5"/>
        <v>5</v>
      </c>
      <c r="E972" s="6" t="str">
        <f t="shared" si="46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7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5"/>
        <v>5</v>
      </c>
      <c r="E973" s="6" t="str">
        <f t="shared" si="46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7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5"/>
        <v>9</v>
      </c>
      <c r="E974" s="6" t="str">
        <f t="shared" si="46"/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7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6" t="str">
        <f t="shared" si="46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7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6" t="str">
        <f t="shared" si="46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7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6" t="str">
        <f t="shared" si="46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7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6" t="str">
        <f t="shared" si="46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7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6" t="str">
        <f t="shared" si="46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7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5"/>
        <v>9</v>
      </c>
      <c r="E980" s="6" t="str">
        <f t="shared" si="46"/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7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6" t="str">
        <f t="shared" si="46"/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7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6" t="str">
        <f t="shared" si="46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7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6" t="str">
        <f t="shared" si="46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7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6" t="str">
        <f t="shared" si="46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7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6" t="str">
        <f t="shared" si="46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7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6" t="str">
        <f t="shared" si="46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7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6" t="str">
        <f t="shared" si="46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7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6" t="str">
        <f t="shared" si="46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7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6" t="str">
        <f t="shared" si="46"/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7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6" t="str">
        <f t="shared" si="46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7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6" t="str">
        <f t="shared" si="46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7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5"/>
        <v>7</v>
      </c>
      <c r="E992" s="6" t="str">
        <f t="shared" si="46"/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7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6" t="str">
        <f t="shared" si="46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7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6" t="str">
        <f t="shared" si="46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7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6" t="str">
        <f t="shared" si="46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7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6" t="str">
        <f t="shared" si="46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7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6" t="str">
        <f t="shared" si="46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7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6" t="str">
        <f t="shared" si="46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7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6" t="str">
        <f t="shared" si="46"/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7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6" t="str">
        <f t="shared" si="46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7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6" t="str">
        <f t="shared" si="46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7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6" t="str">
        <f t="shared" si="46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7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6" t="str">
        <f t="shared" si="46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7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6" t="str">
        <f t="shared" si="46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7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6" t="str">
        <f t="shared" si="46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7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6" t="str">
        <f t="shared" si="46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7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6" t="str">
        <f t="shared" si="46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7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6" t="str">
        <f t="shared" si="46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7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6" t="str">
        <f t="shared" si="46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7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6" t="str">
        <f t="shared" si="46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7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6" t="str">
        <f t="shared" si="46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7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6" t="str">
        <f t="shared" si="46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7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6" t="str">
        <f t="shared" si="46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7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6" t="str">
        <f t="shared" si="46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7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6" t="str">
        <f t="shared" si="46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7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6" t="str">
        <f t="shared" si="46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7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6" t="str">
        <f t="shared" si="46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7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6" t="str">
        <f t="shared" si="46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7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6" t="str">
        <f t="shared" si="46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7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6" t="str">
        <f t="shared" si="46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7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6" t="str">
        <f t="shared" si="46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7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6" t="str">
        <f t="shared" si="46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7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6" t="str">
        <f t="shared" si="46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7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6" t="str">
        <f t="shared" si="46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7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6" t="str">
        <f t="shared" si="46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7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6" t="str">
        <f t="shared" si="46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7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6" t="str">
        <f t="shared" ref="E1027:E1090" si="49">_xlfn.IFS(D1027&lt;=5,"Newcomer",D1027&lt;=10,"Proficient",D1027&gt;10,"Expert")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ref="M1027:M1090" si="50">IF(OR(L1027="Retirement", L1027="Resignation"),"Voluntary","Involuntary")</f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6" t="str">
        <f t="shared" si="49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50"/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6" t="str">
        <f t="shared" si="49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0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6" t="str">
        <f t="shared" si="49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0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6" t="str">
        <f t="shared" si="49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0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6" t="str">
        <f t="shared" si="49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0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6" t="str">
        <f t="shared" si="49"/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0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6" t="str">
        <f t="shared" si="49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0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6" t="str">
        <f t="shared" si="49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0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6" t="str">
        <f t="shared" si="49"/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0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6" t="str">
        <f t="shared" si="49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0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6" t="str">
        <f t="shared" si="49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0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6" t="str">
        <f t="shared" si="49"/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0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6" t="str">
        <f t="shared" si="49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0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6" t="str">
        <f t="shared" si="49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0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6" t="str">
        <f t="shared" si="49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0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6" t="str">
        <f t="shared" si="49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0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6" t="str">
        <f t="shared" si="49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0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6" t="str">
        <f t="shared" si="49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0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6" t="str">
        <f t="shared" si="49"/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0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6" t="str">
        <f t="shared" si="49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0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6" t="str">
        <f t="shared" si="49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0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6" t="str">
        <f t="shared" si="49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0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6" t="str">
        <f t="shared" si="49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0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6" t="str">
        <f t="shared" si="49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0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6" t="str">
        <f t="shared" si="49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0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6" t="str">
        <f t="shared" si="49"/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0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6" t="str">
        <f t="shared" si="49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0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6" t="str">
        <f t="shared" si="49"/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0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6" t="str">
        <f t="shared" si="49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0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6" t="str">
        <f t="shared" si="49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0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6" t="str">
        <f t="shared" si="49"/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0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6" t="str">
        <f t="shared" si="49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0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6" t="str">
        <f t="shared" si="49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0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6" t="str">
        <f t="shared" si="49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0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6" t="str">
        <f t="shared" si="49"/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0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6" t="str">
        <f t="shared" si="49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0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6" t="str">
        <f t="shared" si="49"/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0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6" t="str">
        <f t="shared" si="49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0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6" t="str">
        <f t="shared" si="49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0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6" t="str">
        <f t="shared" si="49"/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0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6" t="str">
        <f t="shared" si="49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0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6" t="str">
        <f t="shared" si="49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0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6" t="str">
        <f t="shared" si="49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0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6" t="str">
        <f t="shared" si="49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0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6" t="str">
        <f t="shared" si="49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0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6" t="str">
        <f t="shared" si="49"/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0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6" t="str">
        <f t="shared" si="49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0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6" t="str">
        <f t="shared" si="49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0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6" t="str">
        <f t="shared" si="49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0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6" t="str">
        <f t="shared" si="49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0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6" t="str">
        <f t="shared" si="49"/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0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6" t="str">
        <f t="shared" si="49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0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6" t="str">
        <f t="shared" si="49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0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6" t="str">
        <f t="shared" si="49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0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6" t="str">
        <f t="shared" si="49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0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6" t="str">
        <f t="shared" si="49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0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6" t="str">
        <f t="shared" si="49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0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6" t="str">
        <f t="shared" si="49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0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6" t="str">
        <f t="shared" si="49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0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6" t="str">
        <f t="shared" si="49"/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0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6" t="str">
        <f t="shared" si="49"/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0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6" t="str">
        <f t="shared" si="49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0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6" t="str">
        <f t="shared" si="49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0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6" t="str">
        <f t="shared" ref="E1091:E1154" si="52">_xlfn.IFS(D1091&lt;=5,"Newcomer",D1091&lt;=10,"Proficient",D1091&gt;10,"Expert")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ref="M1091:M1154" si="53">IF(OR(L1091="Retirement", L1091="Resignation"),"Voluntary","Involuntary")</f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6" t="str">
        <f t="shared" si="52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53"/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6" t="str">
        <f t="shared" si="52"/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3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6" t="str">
        <f t="shared" si="52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3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6" t="str">
        <f t="shared" si="52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3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6" t="str">
        <f t="shared" si="52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3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6" t="str">
        <f t="shared" si="52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3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6" t="str">
        <f t="shared" si="52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3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6" t="str">
        <f t="shared" si="52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3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6" t="str">
        <f t="shared" si="52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3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6" t="str">
        <f t="shared" si="52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3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6" t="str">
        <f t="shared" si="52"/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3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6" t="str">
        <f t="shared" si="52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3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6" t="str">
        <f t="shared" si="52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3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6" t="str">
        <f t="shared" si="52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3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6" t="str">
        <f t="shared" si="52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3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6" t="str">
        <f t="shared" si="52"/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3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6" t="str">
        <f t="shared" si="52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3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6" t="str">
        <f t="shared" si="52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3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6" t="str">
        <f t="shared" si="52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3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6" t="str">
        <f t="shared" si="52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3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6" t="str">
        <f t="shared" si="52"/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3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6" t="str">
        <f t="shared" si="52"/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3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6" t="str">
        <f t="shared" si="52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3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6" t="str">
        <f t="shared" si="52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3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6" t="str">
        <f t="shared" si="52"/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3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6" t="str">
        <f t="shared" si="52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3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6" t="str">
        <f t="shared" si="52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3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6" t="str">
        <f t="shared" si="52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3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6" t="str">
        <f t="shared" si="52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3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6" t="str">
        <f t="shared" si="52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3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6" t="str">
        <f t="shared" si="52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3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6" t="str">
        <f t="shared" si="52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3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6" t="str">
        <f t="shared" si="52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3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6" t="str">
        <f t="shared" si="52"/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3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6" t="str">
        <f t="shared" si="52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3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6" t="str">
        <f t="shared" si="52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3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6" t="str">
        <f t="shared" si="52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3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6" t="str">
        <f t="shared" si="52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3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6" t="str">
        <f t="shared" si="52"/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3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6" t="str">
        <f t="shared" si="52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3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6" t="str">
        <f t="shared" si="52"/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3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6" t="str">
        <f t="shared" si="52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3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6" t="str">
        <f t="shared" si="52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3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6" t="str">
        <f t="shared" si="52"/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3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6" t="str">
        <f t="shared" si="52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3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6" t="str">
        <f t="shared" si="52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3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6" t="str">
        <f t="shared" si="52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3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6" t="str">
        <f t="shared" si="52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3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6" t="str">
        <f t="shared" si="52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3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6" t="str">
        <f t="shared" si="52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3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6" t="str">
        <f t="shared" si="52"/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3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6" t="str">
        <f t="shared" si="52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3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6" t="str">
        <f t="shared" si="52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3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6" t="str">
        <f t="shared" si="52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3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6" t="str">
        <f t="shared" si="52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3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6" t="str">
        <f t="shared" si="52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3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6" t="str">
        <f t="shared" si="52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3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6" t="str">
        <f t="shared" si="52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3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6" t="str">
        <f t="shared" si="52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3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6" t="str">
        <f t="shared" si="52"/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3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6" t="str">
        <f t="shared" si="52"/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3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6" t="str">
        <f t="shared" si="52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3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6" t="str">
        <f t="shared" si="52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3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6" t="str">
        <f t="shared" ref="E1155:E1218" si="55">_xlfn.IFS(D1155&lt;=5,"Newcomer",D1155&lt;=10,"Proficient",D1155&gt;10,"Expert")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ref="M1155:M1218" si="56">IF(OR(L1155="Retirement", L1155="Resignation"),"Voluntary","Involuntary")</f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6" t="str">
        <f t="shared" si="55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56"/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6" t="str">
        <f t="shared" si="55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6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6" t="str">
        <f t="shared" si="55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6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6" t="str">
        <f t="shared" si="55"/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6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6" t="str">
        <f t="shared" si="55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6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6" t="str">
        <f t="shared" si="55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6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6" t="str">
        <f t="shared" si="55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6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6" t="str">
        <f t="shared" si="55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6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6" t="str">
        <f t="shared" si="55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6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6" t="str">
        <f t="shared" si="55"/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6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6" t="str">
        <f t="shared" si="55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6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6" t="str">
        <f t="shared" si="55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6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6" t="str">
        <f t="shared" si="55"/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6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6" t="str">
        <f t="shared" si="55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6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6" t="str">
        <f t="shared" si="55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6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6" t="str">
        <f t="shared" si="55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6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6" t="str">
        <f t="shared" si="55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6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6" t="str">
        <f t="shared" si="55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6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6" t="str">
        <f t="shared" si="55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6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6" t="str">
        <f t="shared" si="55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6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6" t="str">
        <f t="shared" si="55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6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6" t="str">
        <f t="shared" si="55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6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6" t="str">
        <f t="shared" si="55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6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6" t="str">
        <f t="shared" si="55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6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6" t="str">
        <f t="shared" si="55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6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6" t="str">
        <f t="shared" si="55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6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6" t="str">
        <f t="shared" si="55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6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6" t="str">
        <f t="shared" si="55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6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6" t="str">
        <f t="shared" si="55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6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6" t="str">
        <f t="shared" si="55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6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6" t="str">
        <f t="shared" si="55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6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6" t="str">
        <f t="shared" si="55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6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6" t="str">
        <f t="shared" si="55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6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6" t="str">
        <f t="shared" si="55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6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6" t="str">
        <f t="shared" si="55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6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6" t="str">
        <f t="shared" si="55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6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6" t="str">
        <f t="shared" si="55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6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6" t="str">
        <f t="shared" si="55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6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6" t="str">
        <f t="shared" si="55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6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6" t="str">
        <f t="shared" si="55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6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6" t="str">
        <f t="shared" si="55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6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6" t="str">
        <f t="shared" si="55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6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6" t="str">
        <f t="shared" si="55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6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6" t="str">
        <f t="shared" si="55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6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6" t="str">
        <f t="shared" si="55"/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6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6" t="str">
        <f t="shared" si="55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6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6" t="str">
        <f t="shared" si="55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6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6" t="str">
        <f t="shared" si="55"/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6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6" t="str">
        <f t="shared" si="55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6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6" t="str">
        <f t="shared" si="55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6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6" t="str">
        <f t="shared" si="55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6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6" t="str">
        <f t="shared" si="55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6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6" t="str">
        <f t="shared" si="55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6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6" t="str">
        <f t="shared" si="55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6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6" t="str">
        <f t="shared" si="55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6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6" t="str">
        <f t="shared" si="55"/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6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6" t="str">
        <f t="shared" si="55"/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6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6" t="str">
        <f t="shared" si="55"/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6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6" t="str">
        <f t="shared" si="55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6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6" t="str">
        <f t="shared" si="55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6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6" t="str">
        <f t="shared" si="55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6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6" t="str">
        <f t="shared" si="55"/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6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6" t="str">
        <f t="shared" si="55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6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6" t="str">
        <f t="shared" ref="E1219:E1282" si="58">_xlfn.IFS(D1219&lt;=5,"Newcomer",D1219&lt;=10,"Proficient",D1219&gt;10,"Expert")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ref="M1219:M1282" si="59">IF(OR(L1219="Retirement", L1219="Resignation"),"Voluntary","Involuntary")</f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6" t="str">
        <f t="shared" si="58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59"/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6" t="str">
        <f t="shared" si="58"/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59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6" t="str">
        <f t="shared" si="58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59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6" t="str">
        <f t="shared" si="58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59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6" t="str">
        <f t="shared" si="58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59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6" t="str">
        <f t="shared" si="58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59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6" t="str">
        <f t="shared" si="58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59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6" t="str">
        <f t="shared" si="58"/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59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6" t="str">
        <f t="shared" si="58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59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6" t="str">
        <f t="shared" si="58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59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6" t="str">
        <f t="shared" si="58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59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6" t="str">
        <f t="shared" si="58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59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6" t="str">
        <f t="shared" si="58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59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6" t="str">
        <f t="shared" si="58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59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6" t="str">
        <f t="shared" si="58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59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6" t="str">
        <f t="shared" si="58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59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6" t="str">
        <f t="shared" si="58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59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6" t="str">
        <f t="shared" si="58"/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59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6" t="str">
        <f t="shared" si="58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59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6" t="str">
        <f t="shared" si="58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59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6" t="str">
        <f t="shared" si="58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59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6" t="str">
        <f t="shared" si="58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59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6" t="str">
        <f t="shared" si="58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59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6" t="str">
        <f t="shared" si="58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59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6" t="str">
        <f t="shared" si="58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59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6" t="str">
        <f t="shared" si="58"/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59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6" t="str">
        <f t="shared" si="58"/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59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6" t="str">
        <f t="shared" si="58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59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6" t="str">
        <f t="shared" si="58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59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6" t="str">
        <f t="shared" si="58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59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6" t="str">
        <f t="shared" si="58"/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59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6" t="str">
        <f t="shared" si="58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59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6" t="str">
        <f t="shared" si="58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59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6" t="str">
        <f t="shared" si="58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59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6" t="str">
        <f t="shared" si="58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59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6" t="str">
        <f t="shared" si="58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59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6" t="str">
        <f t="shared" si="58"/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59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6" t="str">
        <f t="shared" si="58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59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6" t="str">
        <f t="shared" si="58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59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6" t="str">
        <f t="shared" si="58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59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6" t="str">
        <f t="shared" si="58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59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6" t="str">
        <f t="shared" si="58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59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6" t="str">
        <f t="shared" si="58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59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6" t="str">
        <f t="shared" si="58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59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6" t="str">
        <f t="shared" si="58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59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6" t="str">
        <f t="shared" si="58"/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59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6" t="str">
        <f t="shared" si="58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59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6" t="str">
        <f t="shared" si="58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59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6" t="str">
        <f t="shared" si="58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59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6" t="str">
        <f t="shared" si="58"/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59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6" t="str">
        <f t="shared" si="58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59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6" t="str">
        <f t="shared" si="58"/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59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6" t="str">
        <f t="shared" si="58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59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6" t="str">
        <f t="shared" si="58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59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6" t="str">
        <f t="shared" si="58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59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6" t="str">
        <f t="shared" si="58"/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59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6" t="str">
        <f t="shared" si="58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59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6" t="str">
        <f t="shared" si="58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59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6" t="str">
        <f t="shared" si="58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59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6" t="str">
        <f t="shared" si="58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59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6" t="str">
        <f t="shared" si="58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59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6" t="str">
        <f t="shared" si="58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59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6" t="str">
        <f t="shared" si="58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59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6" t="str">
        <f t="shared" ref="E1283:E1346" si="61">_xlfn.IFS(D1283&lt;=5,"Newcomer",D1283&lt;=10,"Proficient",D1283&gt;10,"Expert")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ref="M1283:M1346" si="62">IF(OR(L1283="Retirement", L1283="Resignation"),"Voluntary","Involuntary")</f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6" t="str">
        <f t="shared" si="61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62"/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6" t="str">
        <f t="shared" si="61"/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2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6" t="str">
        <f t="shared" si="61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2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6" t="str">
        <f t="shared" si="61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2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6" t="str">
        <f t="shared" si="61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2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6" t="str">
        <f t="shared" si="61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2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6" t="str">
        <f t="shared" si="61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2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6" t="str">
        <f t="shared" si="61"/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2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6" t="str">
        <f t="shared" si="61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2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6" t="str">
        <f t="shared" si="61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2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6" t="str">
        <f t="shared" si="61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2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6" t="str">
        <f t="shared" si="61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2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6" t="str">
        <f t="shared" si="61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2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6" t="str">
        <f t="shared" si="61"/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2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6" t="str">
        <f t="shared" si="61"/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2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6" t="str">
        <f t="shared" si="61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2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6" t="str">
        <f t="shared" si="61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2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6" t="str">
        <f t="shared" si="61"/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2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6" t="str">
        <f t="shared" si="61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2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6" t="str">
        <f t="shared" si="61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2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6" t="str">
        <f t="shared" si="61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2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6" t="str">
        <f t="shared" si="61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2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6" t="str">
        <f t="shared" si="61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2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6" t="str">
        <f t="shared" si="61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2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6" t="str">
        <f t="shared" si="61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2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6" t="str">
        <f t="shared" si="61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2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6" t="str">
        <f t="shared" si="61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2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6" t="str">
        <f t="shared" si="61"/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2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6" t="str">
        <f t="shared" si="61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2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6" t="str">
        <f t="shared" si="61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2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6" t="str">
        <f t="shared" si="61"/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2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6" t="str">
        <f t="shared" si="61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2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6" t="str">
        <f t="shared" si="61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2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6" t="str">
        <f t="shared" si="61"/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2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6" t="str">
        <f t="shared" si="61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2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6" t="str">
        <f t="shared" si="61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2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6" t="str">
        <f t="shared" si="61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2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6" t="str">
        <f t="shared" si="61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2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6" t="str">
        <f t="shared" si="61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2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6" t="str">
        <f t="shared" si="61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2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6" t="str">
        <f t="shared" si="61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2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6" t="str">
        <f t="shared" si="61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2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6" t="str">
        <f t="shared" si="61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2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6" t="str">
        <f t="shared" si="61"/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2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6" t="str">
        <f t="shared" si="61"/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2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6" t="str">
        <f t="shared" si="61"/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2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6" t="str">
        <f t="shared" si="61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2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6" t="str">
        <f t="shared" si="61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2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6" t="str">
        <f t="shared" si="61"/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2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6" t="str">
        <f t="shared" si="61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2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6" t="str">
        <f t="shared" si="61"/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2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6" t="str">
        <f t="shared" si="61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2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6" t="str">
        <f t="shared" si="61"/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2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6" t="str">
        <f t="shared" si="61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2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6" t="str">
        <f t="shared" si="61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2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6" t="str">
        <f t="shared" si="61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2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6" t="str">
        <f t="shared" si="61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2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6" t="str">
        <f t="shared" si="61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2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6" t="str">
        <f t="shared" si="61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2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6" t="str">
        <f t="shared" si="61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2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6" t="str">
        <f t="shared" si="61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2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6" t="str">
        <f t="shared" si="61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2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6" t="str">
        <f t="shared" si="61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2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6" t="str">
        <f t="shared" ref="E1347:E1410" si="64">_xlfn.IFS(D1347&lt;=5,"Newcomer",D1347&lt;=10,"Proficient",D1347&gt;10,"Expert")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ref="M1347:M1410" si="65">IF(OR(L1347="Retirement", L1347="Resignation"),"Voluntary","Involuntary")</f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6" t="str">
        <f t="shared" si="64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65"/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6" t="str">
        <f t="shared" si="64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5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6" t="str">
        <f t="shared" si="64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5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6" t="str">
        <f t="shared" si="64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5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6" t="str">
        <f t="shared" si="64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5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6" t="str">
        <f t="shared" si="64"/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5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6" t="str">
        <f t="shared" si="64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5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6" t="str">
        <f t="shared" si="64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5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6" t="str">
        <f t="shared" si="64"/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5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6" t="str">
        <f t="shared" si="64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5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6" t="str">
        <f t="shared" si="64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5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6" t="str">
        <f t="shared" si="64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5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6" t="str">
        <f t="shared" si="64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5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6" t="str">
        <f t="shared" si="64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5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6" t="str">
        <f t="shared" si="64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5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6" t="str">
        <f t="shared" si="64"/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5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6" t="str">
        <f t="shared" si="64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5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6" t="str">
        <f t="shared" si="64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5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6" t="str">
        <f t="shared" si="64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5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6" t="str">
        <f t="shared" si="64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5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6" t="str">
        <f t="shared" si="64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5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6" t="str">
        <f t="shared" si="64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5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6" t="str">
        <f t="shared" si="64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5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6" t="str">
        <f t="shared" si="64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5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6" t="str">
        <f t="shared" si="64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5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6" t="str">
        <f t="shared" si="64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5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6" t="str">
        <f t="shared" si="64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5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6" t="str">
        <f t="shared" si="64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5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6" t="str">
        <f t="shared" si="64"/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5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6" t="str">
        <f t="shared" si="64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5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6" t="str">
        <f t="shared" si="64"/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5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6" t="str">
        <f t="shared" si="64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5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6" t="str">
        <f t="shared" si="64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5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6" t="str">
        <f t="shared" si="64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5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6" t="str">
        <f t="shared" si="64"/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5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6" t="str">
        <f t="shared" si="64"/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5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6" t="str">
        <f t="shared" si="64"/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5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6" t="str">
        <f t="shared" si="64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5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6" t="str">
        <f t="shared" si="64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5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6" t="str">
        <f t="shared" si="64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5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6" t="str">
        <f t="shared" si="64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5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6" t="str">
        <f t="shared" si="64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5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6" t="str">
        <f t="shared" si="64"/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5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6" t="str">
        <f t="shared" si="64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5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6" t="str">
        <f t="shared" si="64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5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6" t="str">
        <f t="shared" si="64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5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6" t="str">
        <f t="shared" si="64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5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6" t="str">
        <f t="shared" si="64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5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6" t="str">
        <f t="shared" si="64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5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6" t="str">
        <f t="shared" si="64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5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6" t="str">
        <f t="shared" si="64"/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5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6" t="str">
        <f t="shared" si="64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5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6" t="str">
        <f t="shared" si="64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5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6" t="str">
        <f t="shared" si="64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5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6" t="str">
        <f t="shared" si="64"/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5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6" t="str">
        <f t="shared" si="64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5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6" t="str">
        <f t="shared" si="64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5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6" t="str">
        <f t="shared" si="64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5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6" t="str">
        <f t="shared" si="64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5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6" t="str">
        <f t="shared" si="64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5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6" t="str">
        <f t="shared" si="64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5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6" t="str">
        <f t="shared" si="64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5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6" t="str">
        <f t="shared" si="64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5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6" t="str">
        <f t="shared" ref="E1411:E1474" si="67">_xlfn.IFS(D1411&lt;=5,"Newcomer",D1411&lt;=10,"Proficient",D1411&gt;10,"Expert")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ref="M1411:M1474" si="68">IF(OR(L1411="Retirement", L1411="Resignation"),"Voluntary","Involuntary")</f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6" t="str">
        <f t="shared" si="67"/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68"/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6" t="str">
        <f t="shared" si="67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8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6" t="str">
        <f t="shared" si="67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8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6" t="str">
        <f t="shared" si="67"/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8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6" t="str">
        <f t="shared" si="67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8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6" t="str">
        <f t="shared" si="67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8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6" t="str">
        <f t="shared" si="67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8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6" t="str">
        <f t="shared" si="67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8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6" t="str">
        <f t="shared" si="67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8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6" t="str">
        <f t="shared" si="67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8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6" t="str">
        <f t="shared" si="67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8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6" t="str">
        <f t="shared" si="67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8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6" t="str">
        <f t="shared" si="67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8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6" t="str">
        <f t="shared" si="67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8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6" t="str">
        <f t="shared" si="67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8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6" t="str">
        <f t="shared" si="67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8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6" t="str">
        <f t="shared" si="67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8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6" t="str">
        <f t="shared" si="67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8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6" t="str">
        <f t="shared" si="67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8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6" t="str">
        <f t="shared" si="67"/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8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6" t="str">
        <f t="shared" si="67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8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6" t="str">
        <f t="shared" si="67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8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6" t="str">
        <f t="shared" si="67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8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6" t="str">
        <f t="shared" si="67"/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8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6" t="str">
        <f t="shared" si="67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8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6" t="str">
        <f t="shared" si="67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8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6" t="str">
        <f t="shared" si="67"/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8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6" t="str">
        <f t="shared" si="67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8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6" t="str">
        <f t="shared" si="67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8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6" t="str">
        <f t="shared" si="67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8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6" t="str">
        <f t="shared" si="67"/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8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6" t="str">
        <f t="shared" si="67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8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6" t="str">
        <f t="shared" si="67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8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6" t="str">
        <f t="shared" si="67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8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6" t="str">
        <f t="shared" si="67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8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6" t="str">
        <f t="shared" si="67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8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6" t="str">
        <f t="shared" si="67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8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6" t="str">
        <f t="shared" si="67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8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6" t="str">
        <f t="shared" si="67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8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6" t="str">
        <f t="shared" si="67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8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6" t="str">
        <f t="shared" si="67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8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6" t="str">
        <f t="shared" si="67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8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6" t="str">
        <f t="shared" si="67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8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6" t="str">
        <f t="shared" si="67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8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6" t="str">
        <f t="shared" si="67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8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6" t="str">
        <f t="shared" si="67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8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6" t="str">
        <f t="shared" si="67"/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8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6" t="str">
        <f t="shared" si="67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8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6" t="str">
        <f t="shared" si="67"/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8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6" t="str">
        <f t="shared" si="67"/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8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6" t="str">
        <f t="shared" si="67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8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6" t="str">
        <f t="shared" si="67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8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6" t="str">
        <f t="shared" si="67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8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6" t="str">
        <f t="shared" si="67"/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8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6" t="str">
        <f t="shared" si="67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8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6" t="str">
        <f t="shared" si="67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8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6" t="str">
        <f t="shared" si="67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8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6" t="str">
        <f t="shared" si="67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8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6" t="str">
        <f t="shared" si="67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8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6" t="str">
        <f t="shared" si="67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8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6" t="str">
        <f t="shared" si="67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8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6" t="str">
        <f t="shared" si="67"/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8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6" t="str">
        <f t="shared" si="67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8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6" t="str">
        <f t="shared" ref="E1475:E1486" si="70">_xlfn.IFS(D1475&lt;=5,"Newcomer",D1475&lt;=10,"Proficient",D1475&gt;10,"Expert")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ref="M1475:M1486" si="71">IF(OR(L1475="Retirement", L1475="Resignation"),"Voluntary","Involuntary")</f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6" t="str">
        <f t="shared" si="70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71"/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6" t="str">
        <f t="shared" si="70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1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6" t="str">
        <f t="shared" si="70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1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6" t="str">
        <f t="shared" si="70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1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6" t="str">
        <f t="shared" si="70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1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6" t="str">
        <f t="shared" si="70"/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1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6" t="str">
        <f t="shared" si="70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1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6" t="str">
        <f t="shared" si="70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1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6" t="str">
        <f t="shared" si="70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1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6" t="str">
        <f t="shared" si="70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1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6" t="str">
        <f t="shared" si="70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1" workbookViewId="0">
      <selection activeCell="G36" sqref="G36"/>
    </sheetView>
  </sheetViews>
  <sheetFormatPr defaultRowHeight="14.4" x14ac:dyDescent="0.3"/>
  <cols>
    <col min="1" max="1" width="8.88671875" style="22"/>
    <col min="2" max="2" width="31.5546875" customWidth="1"/>
    <col min="3" max="3" width="26.21875" bestFit="1" customWidth="1"/>
  </cols>
  <sheetData>
    <row r="1" spans="1:3" x14ac:dyDescent="0.3">
      <c r="A1" s="22" t="s">
        <v>119</v>
      </c>
    </row>
    <row r="3" spans="1:3" x14ac:dyDescent="0.3">
      <c r="A3" s="22" t="s">
        <v>120</v>
      </c>
    </row>
    <row r="4" spans="1:3" x14ac:dyDescent="0.3">
      <c r="B4" t="s">
        <v>122</v>
      </c>
      <c r="C4" s="12">
        <f>COUNT(Data!C1:C1486)</f>
        <v>1485</v>
      </c>
    </row>
    <row r="5" spans="1:3" x14ac:dyDescent="0.3">
      <c r="C5" s="8"/>
    </row>
    <row r="6" spans="1:3" x14ac:dyDescent="0.3">
      <c r="A6" s="22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3">
        <f>C4+C4*C7</f>
        <v>1588.95</v>
      </c>
    </row>
    <row r="10" spans="1:3" ht="15" thickBot="1" x14ac:dyDescent="0.35">
      <c r="A10" s="22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40">
        <f>$C$4+($C$4*B12)</f>
        <v>1544.4</v>
      </c>
    </row>
    <row r="13" spans="1:3" x14ac:dyDescent="0.3">
      <c r="B13" s="18">
        <v>4.4999999999999998E-2</v>
      </c>
      <c r="C13" s="40">
        <f t="shared" ref="C13:C24" si="0">$C$4+($C$4*B13)</f>
        <v>1551.825</v>
      </c>
    </row>
    <row r="14" spans="1:3" x14ac:dyDescent="0.3">
      <c r="B14" s="18">
        <v>0.05</v>
      </c>
      <c r="C14" s="40">
        <f t="shared" si="0"/>
        <v>1559.25</v>
      </c>
    </row>
    <row r="15" spans="1:3" x14ac:dyDescent="0.3">
      <c r="B15" s="18">
        <v>5.5E-2</v>
      </c>
      <c r="C15" s="40">
        <f t="shared" si="0"/>
        <v>1566.675</v>
      </c>
    </row>
    <row r="16" spans="1:3" x14ac:dyDescent="0.3">
      <c r="B16" s="18">
        <v>0.06</v>
      </c>
      <c r="C16" s="40">
        <f t="shared" si="0"/>
        <v>1574.1</v>
      </c>
    </row>
    <row r="17" spans="1:3" x14ac:dyDescent="0.3">
      <c r="B17" s="18">
        <v>6.5000000000000002E-2</v>
      </c>
      <c r="C17" s="40">
        <f t="shared" si="0"/>
        <v>1581.5250000000001</v>
      </c>
    </row>
    <row r="18" spans="1:3" x14ac:dyDescent="0.3">
      <c r="B18" s="18">
        <v>7.0000000000000007E-2</v>
      </c>
      <c r="C18" s="40">
        <f t="shared" si="0"/>
        <v>1588.95</v>
      </c>
    </row>
    <row r="19" spans="1:3" x14ac:dyDescent="0.3">
      <c r="B19" s="18">
        <v>7.4999999999999997E-2</v>
      </c>
      <c r="C19" s="40">
        <f t="shared" si="0"/>
        <v>1596.375</v>
      </c>
    </row>
    <row r="20" spans="1:3" x14ac:dyDescent="0.3">
      <c r="B20" s="18">
        <v>0.08</v>
      </c>
      <c r="C20" s="40">
        <f t="shared" si="0"/>
        <v>1603.8</v>
      </c>
    </row>
    <row r="21" spans="1:3" x14ac:dyDescent="0.3">
      <c r="B21" s="18">
        <v>8.5000000000000006E-2</v>
      </c>
      <c r="C21" s="40">
        <f t="shared" si="0"/>
        <v>1611.2249999999999</v>
      </c>
    </row>
    <row r="22" spans="1:3" x14ac:dyDescent="0.3">
      <c r="B22" s="18">
        <v>0.09</v>
      </c>
      <c r="C22" s="40">
        <f t="shared" si="0"/>
        <v>1618.65</v>
      </c>
    </row>
    <row r="23" spans="1:3" x14ac:dyDescent="0.3">
      <c r="B23" s="18">
        <v>9.5000000000000001E-2</v>
      </c>
      <c r="C23" s="40">
        <f t="shared" si="0"/>
        <v>1626.075</v>
      </c>
    </row>
    <row r="24" spans="1:3" ht="15" thickBot="1" x14ac:dyDescent="0.35">
      <c r="B24" s="17">
        <v>0.1</v>
      </c>
      <c r="C24" s="40">
        <f t="shared" si="0"/>
        <v>1633.5</v>
      </c>
    </row>
    <row r="26" spans="1:3" x14ac:dyDescent="0.3">
      <c r="A26" s="22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41">
        <f>VLOOKUP(B13,B11:C24,2,FALSE)</f>
        <v>1551.825</v>
      </c>
    </row>
    <row r="31" spans="1:3" x14ac:dyDescent="0.3">
      <c r="A31" s="22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4" t="s">
        <v>19</v>
      </c>
      <c r="C34" s="13">
        <v>392</v>
      </c>
    </row>
    <row r="35" spans="1:3" x14ac:dyDescent="0.3">
      <c r="B35" s="4" t="s">
        <v>50</v>
      </c>
      <c r="C35" s="13">
        <v>385</v>
      </c>
    </row>
    <row r="36" spans="1:3" x14ac:dyDescent="0.3">
      <c r="B36" s="4" t="s">
        <v>96</v>
      </c>
      <c r="C36" s="13">
        <v>708</v>
      </c>
    </row>
    <row r="38" spans="1:3" ht="15" thickBot="1" x14ac:dyDescent="0.35">
      <c r="B38" s="20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19" t="str">
        <f>INDEX(B34:B36,MATCH(MAX(C34:C36),C34:C36,0))</f>
        <v>Layoff</v>
      </c>
      <c r="C40" s="14">
        <f>MAX(C34:C36)</f>
        <v>708</v>
      </c>
    </row>
    <row r="42" spans="1:3" x14ac:dyDescent="0.3">
      <c r="A42" s="22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1">
        <f>C34+C35+C36</f>
        <v>1485</v>
      </c>
    </row>
    <row r="46" spans="1:3" x14ac:dyDescent="0.3">
      <c r="B46" t="s">
        <v>138</v>
      </c>
      <c r="C46" s="8">
        <f>C34+C35</f>
        <v>777</v>
      </c>
    </row>
    <row r="47" spans="1:3" x14ac:dyDescent="0.3">
      <c r="B47" s="10" t="s">
        <v>139</v>
      </c>
      <c r="C47" s="24">
        <f>C46/C45</f>
        <v>0.52323232323232327</v>
      </c>
    </row>
    <row r="49" spans="1:1" x14ac:dyDescent="0.3">
      <c r="A49" s="2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abSelected="1" workbookViewId="0">
      <selection activeCell="A34" sqref="A34"/>
    </sheetView>
  </sheetViews>
  <sheetFormatPr defaultRowHeight="14.4" x14ac:dyDescent="0.3"/>
  <cols>
    <col min="1" max="1" width="188.5546875" bestFit="1" customWidth="1"/>
  </cols>
  <sheetData>
    <row r="1" spans="1:4" ht="17.399999999999999" x14ac:dyDescent="0.3">
      <c r="A1" s="25" t="s">
        <v>141</v>
      </c>
    </row>
    <row r="2" spans="1:4" x14ac:dyDescent="0.3">
      <c r="A2" s="26" t="s">
        <v>142</v>
      </c>
    </row>
    <row r="3" spans="1:4" x14ac:dyDescent="0.3">
      <c r="A3" s="26"/>
    </row>
    <row r="4" spans="1:4" ht="17.399999999999999" x14ac:dyDescent="0.3">
      <c r="A4" s="28" t="s">
        <v>143</v>
      </c>
    </row>
    <row r="5" spans="1:4" x14ac:dyDescent="0.3">
      <c r="A5" s="29" t="s">
        <v>144</v>
      </c>
      <c r="D5" s="29" t="s">
        <v>145</v>
      </c>
    </row>
    <row r="6" spans="1:4" x14ac:dyDescent="0.3">
      <c r="A6" s="30" t="s">
        <v>146</v>
      </c>
    </row>
    <row r="7" spans="1:4" x14ac:dyDescent="0.3">
      <c r="A7" s="31" t="s">
        <v>147</v>
      </c>
    </row>
    <row r="8" spans="1:4" x14ac:dyDescent="0.3">
      <c r="A8" s="30" t="s">
        <v>148</v>
      </c>
    </row>
    <row r="9" spans="1:4" x14ac:dyDescent="0.3">
      <c r="A9" s="32"/>
    </row>
    <row r="10" spans="1:4" x14ac:dyDescent="0.3">
      <c r="A10" s="29" t="s">
        <v>149</v>
      </c>
    </row>
    <row r="11" spans="1:4" x14ac:dyDescent="0.3">
      <c r="A11" s="26" t="s">
        <v>150</v>
      </c>
    </row>
    <row r="12" spans="1:4" x14ac:dyDescent="0.3">
      <c r="A12" s="30" t="s">
        <v>151</v>
      </c>
    </row>
    <row r="13" spans="1:4" x14ac:dyDescent="0.3">
      <c r="A13" s="30" t="s">
        <v>152</v>
      </c>
    </row>
    <row r="14" spans="1:4" x14ac:dyDescent="0.3">
      <c r="A14" s="27" t="s">
        <v>153</v>
      </c>
    </row>
    <row r="15" spans="1:4" x14ac:dyDescent="0.3">
      <c r="A15" s="30" t="s">
        <v>154</v>
      </c>
    </row>
    <row r="16" spans="1:4" x14ac:dyDescent="0.3">
      <c r="A16" s="33" t="s">
        <v>155</v>
      </c>
    </row>
    <row r="17" spans="1:5" x14ac:dyDescent="0.3">
      <c r="A17" s="34" t="s">
        <v>156</v>
      </c>
      <c r="E17" s="34" t="s">
        <v>157</v>
      </c>
    </row>
    <row r="18" spans="1:5" x14ac:dyDescent="0.3">
      <c r="A18" s="30" t="s">
        <v>158</v>
      </c>
    </row>
    <row r="19" spans="1:5" x14ac:dyDescent="0.3">
      <c r="A19" s="35" t="s">
        <v>159</v>
      </c>
    </row>
    <row r="20" spans="1:5" x14ac:dyDescent="0.3">
      <c r="A20" s="35" t="s">
        <v>160</v>
      </c>
    </row>
    <row r="21" spans="1:5" x14ac:dyDescent="0.3">
      <c r="A21" s="36" t="s">
        <v>161</v>
      </c>
    </row>
    <row r="22" spans="1:5" x14ac:dyDescent="0.3">
      <c r="A22" s="34"/>
    </row>
    <row r="23" spans="1:5" x14ac:dyDescent="0.3">
      <c r="A23" s="30" t="s">
        <v>162</v>
      </c>
    </row>
    <row r="24" spans="1:5" x14ac:dyDescent="0.3">
      <c r="A24" s="37" t="s">
        <v>163</v>
      </c>
    </row>
    <row r="25" spans="1:5" x14ac:dyDescent="0.3">
      <c r="A25" s="37" t="s">
        <v>164</v>
      </c>
    </row>
    <row r="26" spans="1:5" x14ac:dyDescent="0.3">
      <c r="A26" s="37" t="s">
        <v>165</v>
      </c>
    </row>
    <row r="27" spans="1:5" x14ac:dyDescent="0.3">
      <c r="A27" s="38" t="s">
        <v>166</v>
      </c>
    </row>
    <row r="28" spans="1:5" x14ac:dyDescent="0.3">
      <c r="A28" s="29"/>
    </row>
    <row r="29" spans="1:5" x14ac:dyDescent="0.3">
      <c r="A29" s="29"/>
    </row>
    <row r="30" spans="1:5" x14ac:dyDescent="0.3">
      <c r="A30" s="26"/>
    </row>
    <row r="31" spans="1:5" x14ac:dyDescent="0.3">
      <c r="A31" s="26"/>
    </row>
    <row r="32" spans="1:5" x14ac:dyDescent="0.3">
      <c r="A32" s="39" t="s">
        <v>167</v>
      </c>
    </row>
    <row r="33" spans="1:1" x14ac:dyDescent="0.3">
      <c r="A3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Akshay Kadambande</cp:lastModifiedBy>
  <dcterms:created xsi:type="dcterms:W3CDTF">2022-04-06T06:28:55Z</dcterms:created>
  <dcterms:modified xsi:type="dcterms:W3CDTF">2026-05-28T07:13:18Z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